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ra/Desktop/Thesis/Data/Data summary/"/>
    </mc:Choice>
  </mc:AlternateContent>
  <xr:revisionPtr revIDLastSave="0" documentId="8_{B633CE17-F027-164F-A0F2-8E384470C336}" xr6:coauthVersionLast="47" xr6:coauthVersionMax="47" xr10:uidLastSave="{00000000-0000-0000-0000-000000000000}"/>
  <bookViews>
    <workbookView xWindow="780" yWindow="1000" windowWidth="24820" windowHeight="15000" activeTab="1" xr2:uid="{44E3DA65-E3B7-D443-BD23-7E965F8387F6}"/>
  </bookViews>
  <sheets>
    <sheet name="SE data" sheetId="1" r:id="rId1"/>
    <sheet name="peak seas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6" i="2"/>
  <c r="L7" i="2"/>
  <c r="L30" i="2" s="1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</calcChain>
</file>

<file path=xl/sharedStrings.xml><?xml version="1.0" encoding="utf-8"?>
<sst xmlns="http://schemas.openxmlformats.org/spreadsheetml/2006/main" count="537" uniqueCount="40">
  <si>
    <t>NA</t>
  </si>
  <si>
    <t>Peak</t>
  </si>
  <si>
    <t>eightdaypattern</t>
  </si>
  <si>
    <t>date</t>
  </si>
  <si>
    <t>Growth rate</t>
  </si>
  <si>
    <t>whale_presence</t>
  </si>
  <si>
    <t>Non-peak WP</t>
  </si>
  <si>
    <t>Peak WP</t>
  </si>
  <si>
    <t>year</t>
  </si>
  <si>
    <t>month</t>
  </si>
  <si>
    <t>presence_lead</t>
  </si>
  <si>
    <t>mean_sst</t>
  </si>
  <si>
    <t>presence_total_hrs</t>
  </si>
  <si>
    <t>record_total_hrs</t>
  </si>
  <si>
    <t>chl_small</t>
  </si>
  <si>
    <t>chl_large</t>
  </si>
  <si>
    <t>&gt;0</t>
  </si>
  <si>
    <t>&gt;5/8/2018</t>
  </si>
  <si>
    <t>&gt;40</t>
  </si>
  <si>
    <t>&lt;2/6/2018</t>
  </si>
  <si>
    <t>?</t>
  </si>
  <si>
    <t>1?</t>
  </si>
  <si>
    <t>&gt;=32</t>
  </si>
  <si>
    <t>&lt;16/10/2007</t>
  </si>
  <si>
    <t>&gt;=24</t>
  </si>
  <si>
    <t>&gt;8/10/2006</t>
  </si>
  <si>
    <t>? Before Oct-16</t>
  </si>
  <si>
    <t>&gt;=16</t>
  </si>
  <si>
    <t>&lt;21/9/2004</t>
  </si>
  <si>
    <t>? Before Sep-21</t>
  </si>
  <si>
    <t>period</t>
  </si>
  <si>
    <t>Peak End</t>
  </si>
  <si>
    <t>Peak- start</t>
  </si>
  <si>
    <t>peak 3 - end</t>
  </si>
  <si>
    <t>peak 3 - start</t>
  </si>
  <si>
    <t>peak 2 - end</t>
  </si>
  <si>
    <t>peak 2 - start</t>
  </si>
  <si>
    <t>peak 1 - end</t>
  </si>
  <si>
    <t>peak 1 - start</t>
  </si>
  <si>
    <t># of 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</si>
</sst>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1" fillId="2" borderId="0" xfId="0" applyFont="1" applyFill="1"/>
    <xf numFmtId="14" fontId="1" fillId="2" borderId="0" xfId="0" applyNumberFormat="1" applyFont="1" applyFill="1"/>
    <xf numFmtId="14" fontId="1" fillId="3" borderId="0" xfId="0" applyNumberFormat="1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4" fontId="1" fillId="5" borderId="0" xfId="0" applyNumberFormat="1" applyFont="1" applyFill="1"/>
    <xf numFmtId="0" fontId="2" fillId="4" borderId="0" xfId="0" applyFont="1" applyFill="1"/>
    <xf numFmtId="0" fontId="3" fillId="0" borderId="0" xfId="0" applyFont="1"/>
    <xf numFmtId="14" fontId="0" fillId="0" borderId="0" xfId="0" applyNumberFormat="1"/>
    <xf numFmtId="17" fontId="0" fillId="0" borderId="0" xfId="0" applyNumberFormat="1"/>
    <xf numFmtId="0" fontId="0" fillId="6" borderId="0" xfId="0" applyFill="1"/>
    <xf numFmtId="0" fontId="4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18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47-F242-902C-71D1DB43F4F6}"/>
              </c:ext>
            </c:extLst>
          </c:dPt>
          <c:dPt>
            <c:idx val="24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47-F242-902C-71D1DB43F4F6}"/>
              </c:ext>
            </c:extLst>
          </c:dPt>
          <c:dPt>
            <c:idx val="28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47-F242-902C-71D1DB43F4F6}"/>
              </c:ext>
            </c:extLst>
          </c:dPt>
          <c:dPt>
            <c:idx val="32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647-F242-902C-71D1DB43F4F6}"/>
              </c:ext>
            </c:extLst>
          </c:dPt>
          <c:val>
            <c:numRef>
              <c:f>'SE data'!$N$2:$N$47</c:f>
              <c:numCache>
                <c:formatCode>General</c:formatCode>
                <c:ptCount val="46"/>
                <c:pt idx="0">
                  <c:v>1E-3</c:v>
                </c:pt>
                <c:pt idx="1">
                  <c:v>1E-3</c:v>
                </c:pt>
                <c:pt idx="2">
                  <c:v>0.104166666666667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5.2137643378519297E-3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2.0833333333333301E-2</c:v>
                </c:pt>
                <c:pt idx="15">
                  <c:v>0.421875</c:v>
                </c:pt>
                <c:pt idx="16">
                  <c:v>0.15625</c:v>
                </c:pt>
                <c:pt idx="17">
                  <c:v>0.14583333333333301</c:v>
                </c:pt>
                <c:pt idx="18">
                  <c:v>0.609375</c:v>
                </c:pt>
                <c:pt idx="19">
                  <c:v>0.77604166666666696</c:v>
                </c:pt>
                <c:pt idx="20">
                  <c:v>0.96875</c:v>
                </c:pt>
                <c:pt idx="21">
                  <c:v>0.89583333333333304</c:v>
                </c:pt>
                <c:pt idx="22">
                  <c:v>0.72649572649572702</c:v>
                </c:pt>
                <c:pt idx="23">
                  <c:v>0.89863663307646702</c:v>
                </c:pt>
                <c:pt idx="24">
                  <c:v>0.56994818652849699</c:v>
                </c:pt>
                <c:pt idx="25">
                  <c:v>0.26229508196721302</c:v>
                </c:pt>
                <c:pt idx="26">
                  <c:v>0.28645833333333298</c:v>
                </c:pt>
                <c:pt idx="27">
                  <c:v>0.397170837867247</c:v>
                </c:pt>
                <c:pt idx="28">
                  <c:v>0.67398119122257005</c:v>
                </c:pt>
                <c:pt idx="29">
                  <c:v>0.81005586592178802</c:v>
                </c:pt>
                <c:pt idx="30">
                  <c:v>0.984375</c:v>
                </c:pt>
                <c:pt idx="31">
                  <c:v>0.99479166666666696</c:v>
                </c:pt>
                <c:pt idx="32">
                  <c:v>0.88541666666666696</c:v>
                </c:pt>
                <c:pt idx="33">
                  <c:v>0.20220588235294101</c:v>
                </c:pt>
                <c:pt idx="34">
                  <c:v>0.25</c:v>
                </c:pt>
                <c:pt idx="35">
                  <c:v>0.265625</c:v>
                </c:pt>
                <c:pt idx="36">
                  <c:v>0.58333333333333304</c:v>
                </c:pt>
                <c:pt idx="37">
                  <c:v>0.40625</c:v>
                </c:pt>
                <c:pt idx="38">
                  <c:v>0.35170603674540701</c:v>
                </c:pt>
                <c:pt idx="39">
                  <c:v>0.48851774530271402</c:v>
                </c:pt>
                <c:pt idx="40">
                  <c:v>0.140625</c:v>
                </c:pt>
                <c:pt idx="41">
                  <c:v>3.7353255069370303E-2</c:v>
                </c:pt>
                <c:pt idx="42">
                  <c:v>0.40667361835244997</c:v>
                </c:pt>
                <c:pt idx="43">
                  <c:v>3.6458333333333301E-2</c:v>
                </c:pt>
                <c:pt idx="44">
                  <c:v>0.15104166666666699</c:v>
                </c:pt>
                <c:pt idx="45">
                  <c:v>1.6666666666666701E-2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47-F242-902C-71D1DB43F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75-AC48-BCB1-29D827D46C56}"/>
              </c:ext>
            </c:extLst>
          </c:dPt>
          <c:dPt>
            <c:idx val="38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75-AC48-BCB1-29D827D46C56}"/>
              </c:ext>
            </c:extLst>
          </c:dPt>
          <c:val>
            <c:numRef>
              <c:f>'SE data'!$N$48:$N$93</c:f>
              <c:numCache>
                <c:formatCode>General</c:formatCode>
                <c:ptCount val="46"/>
                <c:pt idx="0">
                  <c:v>5.7273768613974804E-3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1.0416666666666701E-2</c:v>
                </c:pt>
                <c:pt idx="8">
                  <c:v>1E-3</c:v>
                </c:pt>
                <c:pt idx="9">
                  <c:v>1E-3</c:v>
                </c:pt>
                <c:pt idx="10">
                  <c:v>5.2110474205315296E-3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6.7708333333333301E-2</c:v>
                </c:pt>
                <c:pt idx="17">
                  <c:v>4.6875E-2</c:v>
                </c:pt>
                <c:pt idx="18">
                  <c:v>4.1666666666666699E-2</c:v>
                </c:pt>
                <c:pt idx="19">
                  <c:v>0.32291666666666702</c:v>
                </c:pt>
                <c:pt idx="20">
                  <c:v>0.79166666666666696</c:v>
                </c:pt>
                <c:pt idx="21">
                  <c:v>0.52659019812304497</c:v>
                </c:pt>
                <c:pt idx="22">
                  <c:v>0.83368756641870401</c:v>
                </c:pt>
                <c:pt idx="23">
                  <c:v>0.234375</c:v>
                </c:pt>
                <c:pt idx="24">
                  <c:v>3.125E-2</c:v>
                </c:pt>
                <c:pt idx="25">
                  <c:v>0.30208333333333298</c:v>
                </c:pt>
                <c:pt idx="26">
                  <c:v>0.55729166666666696</c:v>
                </c:pt>
                <c:pt idx="27">
                  <c:v>0.72916666666666696</c:v>
                </c:pt>
                <c:pt idx="28">
                  <c:v>0.30729166666666702</c:v>
                </c:pt>
                <c:pt idx="29">
                  <c:v>0.334553058024046</c:v>
                </c:pt>
                <c:pt idx="30">
                  <c:v>0.359375</c:v>
                </c:pt>
                <c:pt idx="31">
                  <c:v>0.88020833333333304</c:v>
                </c:pt>
                <c:pt idx="32">
                  <c:v>0.87473002159827196</c:v>
                </c:pt>
                <c:pt idx="33">
                  <c:v>0.99479166666666696</c:v>
                </c:pt>
                <c:pt idx="34">
                  <c:v>1</c:v>
                </c:pt>
                <c:pt idx="35">
                  <c:v>0.859375</c:v>
                </c:pt>
                <c:pt idx="36">
                  <c:v>0.91666666666666696</c:v>
                </c:pt>
                <c:pt idx="37">
                  <c:v>0.75</c:v>
                </c:pt>
                <c:pt idx="38">
                  <c:v>0.88713910761154902</c:v>
                </c:pt>
                <c:pt idx="39">
                  <c:v>0.40419947506561699</c:v>
                </c:pt>
                <c:pt idx="40">
                  <c:v>0.495821727019499</c:v>
                </c:pt>
                <c:pt idx="41">
                  <c:v>0.448756822316555</c:v>
                </c:pt>
                <c:pt idx="42">
                  <c:v>0.71428571428571397</c:v>
                </c:pt>
                <c:pt idx="43">
                  <c:v>0.75718015665796301</c:v>
                </c:pt>
                <c:pt idx="44">
                  <c:v>0.78645833333333304</c:v>
                </c:pt>
                <c:pt idx="45">
                  <c:v>0.55045871559632997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75-AC48-BCB1-29D827D46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39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91-424D-A0A8-EFF6A460930E}"/>
              </c:ext>
            </c:extLst>
          </c:dPt>
          <c:val>
            <c:numRef>
              <c:f>'SE data'!$N$94:$N$139</c:f>
              <c:numCache>
                <c:formatCode>General</c:formatCode>
                <c:ptCount val="46"/>
                <c:pt idx="0">
                  <c:v>3.6572622779519302E-2</c:v>
                </c:pt>
                <c:pt idx="1">
                  <c:v>0.281396560708702</c:v>
                </c:pt>
                <c:pt idx="2">
                  <c:v>0.14345991561181401</c:v>
                </c:pt>
                <c:pt idx="3">
                  <c:v>0.15104166666666699</c:v>
                </c:pt>
                <c:pt idx="4">
                  <c:v>6.7885117493472605E-2</c:v>
                </c:pt>
                <c:pt idx="5">
                  <c:v>5.2083333333333301E-2</c:v>
                </c:pt>
                <c:pt idx="6">
                  <c:v>5.0890585241730298E-2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5.2083333333333296E-3</c:v>
                </c:pt>
                <c:pt idx="11">
                  <c:v>5.2083333333333296E-3</c:v>
                </c:pt>
                <c:pt idx="12">
                  <c:v>1E-3</c:v>
                </c:pt>
                <c:pt idx="13">
                  <c:v>1E-3</c:v>
                </c:pt>
                <c:pt idx="14">
                  <c:v>5.2383446830801504E-3</c:v>
                </c:pt>
                <c:pt idx="15">
                  <c:v>1E-3</c:v>
                </c:pt>
                <c:pt idx="16">
                  <c:v>1E-3</c:v>
                </c:pt>
                <c:pt idx="17">
                  <c:v>5.2137643378519297E-3</c:v>
                </c:pt>
                <c:pt idx="18">
                  <c:v>6.25E-2</c:v>
                </c:pt>
                <c:pt idx="19">
                  <c:v>1.5625E-2</c:v>
                </c:pt>
                <c:pt idx="20">
                  <c:v>2.6041666666666699E-2</c:v>
                </c:pt>
                <c:pt idx="21">
                  <c:v>0.19791666666666699</c:v>
                </c:pt>
                <c:pt idx="22">
                  <c:v>9.5389507154213002E-2</c:v>
                </c:pt>
                <c:pt idx="23">
                  <c:v>0.152187698161065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0.88020833333333304</c:v>
                </c:pt>
                <c:pt idx="34">
                  <c:v>0.921875</c:v>
                </c:pt>
                <c:pt idx="35">
                  <c:v>0.90813648293963301</c:v>
                </c:pt>
                <c:pt idx="36">
                  <c:v>0.46875</c:v>
                </c:pt>
                <c:pt idx="37">
                  <c:v>0.65104166666666696</c:v>
                </c:pt>
                <c:pt idx="38">
                  <c:v>1</c:v>
                </c:pt>
                <c:pt idx="39">
                  <c:v>0.65625</c:v>
                </c:pt>
                <c:pt idx="40">
                  <c:v>1.0476689366160301E-2</c:v>
                </c:pt>
                <c:pt idx="41">
                  <c:v>1.5625E-2</c:v>
                </c:pt>
                <c:pt idx="42">
                  <c:v>0.1875</c:v>
                </c:pt>
                <c:pt idx="43">
                  <c:v>0.68229166666666696</c:v>
                </c:pt>
                <c:pt idx="44">
                  <c:v>4.6875E-2</c:v>
                </c:pt>
                <c:pt idx="45">
                  <c:v>0.15972222222222199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91-424D-A0A8-EFF6A4609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26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9-F64F-80D9-814046BC9860}"/>
              </c:ext>
            </c:extLst>
          </c:dPt>
          <c:dPt>
            <c:idx val="37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C9-F64F-80D9-814046BC9860}"/>
              </c:ext>
            </c:extLst>
          </c:dPt>
          <c:val>
            <c:numRef>
              <c:f>'SE data'!$N$140:$N$185</c:f>
              <c:numCache>
                <c:formatCode>General</c:formatCode>
                <c:ptCount val="46"/>
                <c:pt idx="0">
                  <c:v>3.125E-2</c:v>
                </c:pt>
                <c:pt idx="1">
                  <c:v>1E-3</c:v>
                </c:pt>
                <c:pt idx="2">
                  <c:v>5.2083333333333296E-3</c:v>
                </c:pt>
                <c:pt idx="3">
                  <c:v>1E-3</c:v>
                </c:pt>
                <c:pt idx="4">
                  <c:v>0.25520833333333298</c:v>
                </c:pt>
                <c:pt idx="5">
                  <c:v>1E-3</c:v>
                </c:pt>
                <c:pt idx="6">
                  <c:v>1.0416666666666701E-2</c:v>
                </c:pt>
                <c:pt idx="7">
                  <c:v>1E-3</c:v>
                </c:pt>
                <c:pt idx="8">
                  <c:v>5.2083333333333296E-3</c:v>
                </c:pt>
                <c:pt idx="9">
                  <c:v>0</c:v>
                </c:pt>
                <c:pt idx="10">
                  <c:v>1E-3</c:v>
                </c:pt>
                <c:pt idx="11">
                  <c:v>3.125E-2</c:v>
                </c:pt>
                <c:pt idx="12">
                  <c:v>1E-3</c:v>
                </c:pt>
                <c:pt idx="13">
                  <c:v>0.140625</c:v>
                </c:pt>
                <c:pt idx="14">
                  <c:v>1E-3</c:v>
                </c:pt>
                <c:pt idx="15">
                  <c:v>5.2083333333333296E-3</c:v>
                </c:pt>
                <c:pt idx="16">
                  <c:v>1.0416666666666701E-2</c:v>
                </c:pt>
                <c:pt idx="17">
                  <c:v>5.7291666666666699E-2</c:v>
                </c:pt>
                <c:pt idx="18">
                  <c:v>0.119791666666667</c:v>
                </c:pt>
                <c:pt idx="19">
                  <c:v>0.22395833333333301</c:v>
                </c:pt>
                <c:pt idx="20">
                  <c:v>0.22916666666666699</c:v>
                </c:pt>
                <c:pt idx="21">
                  <c:v>0.84375</c:v>
                </c:pt>
                <c:pt idx="22">
                  <c:v>0.890625</c:v>
                </c:pt>
                <c:pt idx="23">
                  <c:v>0.83854166666666696</c:v>
                </c:pt>
                <c:pt idx="24">
                  <c:v>0.77083333333333304</c:v>
                </c:pt>
                <c:pt idx="25">
                  <c:v>0.640625</c:v>
                </c:pt>
                <c:pt idx="26">
                  <c:v>0.79166666666666696</c:v>
                </c:pt>
                <c:pt idx="27">
                  <c:v>0.99468085106382997</c:v>
                </c:pt>
                <c:pt idx="28">
                  <c:v>0.98436685773840504</c:v>
                </c:pt>
                <c:pt idx="29">
                  <c:v>0.89577905158936899</c:v>
                </c:pt>
                <c:pt idx="30">
                  <c:v>0.96354166666666696</c:v>
                </c:pt>
                <c:pt idx="31">
                  <c:v>0.97916666666666696</c:v>
                </c:pt>
                <c:pt idx="32">
                  <c:v>0.64583333333333304</c:v>
                </c:pt>
                <c:pt idx="33">
                  <c:v>0.734375</c:v>
                </c:pt>
                <c:pt idx="34">
                  <c:v>0.53125</c:v>
                </c:pt>
                <c:pt idx="35">
                  <c:v>0.875</c:v>
                </c:pt>
                <c:pt idx="36">
                  <c:v>0.88541666666666696</c:v>
                </c:pt>
                <c:pt idx="37">
                  <c:v>0.56770833333333304</c:v>
                </c:pt>
                <c:pt idx="38">
                  <c:v>1.5625E-2</c:v>
                </c:pt>
                <c:pt idx="39">
                  <c:v>1E-3</c:v>
                </c:pt>
                <c:pt idx="40">
                  <c:v>1E-3</c:v>
                </c:pt>
                <c:pt idx="41">
                  <c:v>1E-3</c:v>
                </c:pt>
                <c:pt idx="42">
                  <c:v>1E-3</c:v>
                </c:pt>
                <c:pt idx="43">
                  <c:v>1E-3</c:v>
                </c:pt>
                <c:pt idx="44">
                  <c:v>1E-3</c:v>
                </c:pt>
                <c:pt idx="45">
                  <c:v>1.6666666666666701E-2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C9-F64F-80D9-814046BC9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32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C1-B64D-9F97-705C66A671B0}"/>
              </c:ext>
            </c:extLst>
          </c:dPt>
          <c:val>
            <c:numRef>
              <c:f>'SE data'!$N$186:$N$231</c:f>
              <c:numCache>
                <c:formatCode>General</c:formatCode>
                <c:ptCount val="46"/>
                <c:pt idx="0">
                  <c:v>1E-3</c:v>
                </c:pt>
                <c:pt idx="1">
                  <c:v>1.0416666666666701E-2</c:v>
                </c:pt>
                <c:pt idx="2">
                  <c:v>1E-3</c:v>
                </c:pt>
                <c:pt idx="3">
                  <c:v>1.0416666666666701E-2</c:v>
                </c:pt>
                <c:pt idx="4">
                  <c:v>5.2083333333333296E-3</c:v>
                </c:pt>
                <c:pt idx="5">
                  <c:v>5.2083333333333296E-3</c:v>
                </c:pt>
                <c:pt idx="6">
                  <c:v>1E-3</c:v>
                </c:pt>
                <c:pt idx="7">
                  <c:v>1E-3</c:v>
                </c:pt>
                <c:pt idx="8">
                  <c:v>9.375E-2</c:v>
                </c:pt>
                <c:pt idx="9">
                  <c:v>5.2083333333333296E-3</c:v>
                </c:pt>
                <c:pt idx="10">
                  <c:v>1.0416666666666701E-2</c:v>
                </c:pt>
                <c:pt idx="11">
                  <c:v>5.2083333333333296E-3</c:v>
                </c:pt>
                <c:pt idx="12">
                  <c:v>1E-3</c:v>
                </c:pt>
                <c:pt idx="13">
                  <c:v>1E-3</c:v>
                </c:pt>
                <c:pt idx="14">
                  <c:v>5.2083333333333296E-3</c:v>
                </c:pt>
                <c:pt idx="15">
                  <c:v>1E-3</c:v>
                </c:pt>
                <c:pt idx="16">
                  <c:v>0</c:v>
                </c:pt>
                <c:pt idx="17">
                  <c:v>0.125</c:v>
                </c:pt>
                <c:pt idx="18">
                  <c:v>0.75520833333333304</c:v>
                </c:pt>
                <c:pt idx="19">
                  <c:v>0.58854166666666696</c:v>
                </c:pt>
                <c:pt idx="20">
                  <c:v>0.61458333333333304</c:v>
                </c:pt>
                <c:pt idx="21">
                  <c:v>0.375</c:v>
                </c:pt>
                <c:pt idx="22">
                  <c:v>0.40625</c:v>
                </c:pt>
                <c:pt idx="23">
                  <c:v>0.703125</c:v>
                </c:pt>
                <c:pt idx="24">
                  <c:v>0.20833333333333301</c:v>
                </c:pt>
                <c:pt idx="25">
                  <c:v>0.16145833333333301</c:v>
                </c:pt>
                <c:pt idx="26">
                  <c:v>0.515625</c:v>
                </c:pt>
                <c:pt idx="27">
                  <c:v>0.77083333333333304</c:v>
                </c:pt>
                <c:pt idx="28">
                  <c:v>0.890625</c:v>
                </c:pt>
                <c:pt idx="29">
                  <c:v>0.73369565217391297</c:v>
                </c:pt>
                <c:pt idx="30">
                  <c:v>0.52083333333333304</c:v>
                </c:pt>
                <c:pt idx="31">
                  <c:v>0.48958333333333298</c:v>
                </c:pt>
                <c:pt idx="32">
                  <c:v>0.70422535211267601</c:v>
                </c:pt>
                <c:pt idx="33">
                  <c:v>0.78125</c:v>
                </c:pt>
                <c:pt idx="34">
                  <c:v>0.98958333333333304</c:v>
                </c:pt>
                <c:pt idx="35">
                  <c:v>0.94639666468135797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C1-B64D-9F97-705C66A67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2007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40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8EE-2C41-A754-27964FC29878}"/>
              </c:ext>
            </c:extLst>
          </c:dPt>
          <c:val>
            <c:numRef>
              <c:f>'SE data'!$N$232:$N$277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0.59151009046624903</c:v>
                </c:pt>
                <c:pt idx="37">
                  <c:v>0.900836320191159</c:v>
                </c:pt>
                <c:pt idx="38">
                  <c:v>0.97386304234187104</c:v>
                </c:pt>
                <c:pt idx="39">
                  <c:v>0.45336112558624297</c:v>
                </c:pt>
                <c:pt idx="40">
                  <c:v>0.32291666666666702</c:v>
                </c:pt>
                <c:pt idx="41">
                  <c:v>2.13219616204691E-2</c:v>
                </c:pt>
                <c:pt idx="42">
                  <c:v>6.9721115537848599E-2</c:v>
                </c:pt>
                <c:pt idx="43">
                  <c:v>1.04493207941484E-2</c:v>
                </c:pt>
                <c:pt idx="44">
                  <c:v>1.5633142261594599E-2</c:v>
                </c:pt>
                <c:pt idx="45">
                  <c:v>3.3388981636060099E-2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EE-2C41-A754-27964FC29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val>
            <c:numRef>
              <c:f>'SE data'!$N$278:$N$323</c:f>
              <c:numCache>
                <c:formatCode>General</c:formatCode>
                <c:ptCount val="46"/>
                <c:pt idx="0">
                  <c:v>9.375E-2</c:v>
                </c:pt>
                <c:pt idx="1">
                  <c:v>1E-3</c:v>
                </c:pt>
                <c:pt idx="2">
                  <c:v>1E-3</c:v>
                </c:pt>
                <c:pt idx="3">
                  <c:v>1.5633142261594599E-2</c:v>
                </c:pt>
                <c:pt idx="4">
                  <c:v>8.0085424452749604E-2</c:v>
                </c:pt>
                <c:pt idx="5">
                  <c:v>5.2083333333333296E-3</c:v>
                </c:pt>
                <c:pt idx="6">
                  <c:v>0.38541666666666702</c:v>
                </c:pt>
                <c:pt idx="7">
                  <c:v>4.6875E-2</c:v>
                </c:pt>
                <c:pt idx="8">
                  <c:v>5.2083333333333296E-3</c:v>
                </c:pt>
                <c:pt idx="9">
                  <c:v>1E-3</c:v>
                </c:pt>
                <c:pt idx="10">
                  <c:v>1E-3</c:v>
                </c:pt>
                <c:pt idx="11">
                  <c:v>1.5625E-2</c:v>
                </c:pt>
                <c:pt idx="12">
                  <c:v>5.2083333333333296E-3</c:v>
                </c:pt>
                <c:pt idx="13">
                  <c:v>2.0844189682126101E-2</c:v>
                </c:pt>
                <c:pt idx="14">
                  <c:v>4.1666666666666699E-2</c:v>
                </c:pt>
                <c:pt idx="15">
                  <c:v>0.28125</c:v>
                </c:pt>
                <c:pt idx="16">
                  <c:v>7.8125E-2</c:v>
                </c:pt>
                <c:pt idx="17">
                  <c:v>1.0416666666666701E-2</c:v>
                </c:pt>
                <c:pt idx="18">
                  <c:v>0.104166666666667</c:v>
                </c:pt>
                <c:pt idx="19">
                  <c:v>0.56770833333333304</c:v>
                </c:pt>
                <c:pt idx="20">
                  <c:v>0.28645833333333298</c:v>
                </c:pt>
                <c:pt idx="21">
                  <c:v>5.2083333333333301E-2</c:v>
                </c:pt>
                <c:pt idx="22">
                  <c:v>0.18463371054198899</c:v>
                </c:pt>
                <c:pt idx="23">
                  <c:v>0.34895833333333298</c:v>
                </c:pt>
                <c:pt idx="24">
                  <c:v>0.234375</c:v>
                </c:pt>
                <c:pt idx="25">
                  <c:v>0.111188325225851</c:v>
                </c:pt>
                <c:pt idx="26">
                  <c:v>0.59895833333333304</c:v>
                </c:pt>
                <c:pt idx="27">
                  <c:v>0.75</c:v>
                </c:pt>
                <c:pt idx="28">
                  <c:v>0.38541666666666702</c:v>
                </c:pt>
                <c:pt idx="29">
                  <c:v>0.34375</c:v>
                </c:pt>
                <c:pt idx="30">
                  <c:v>0.11166253101737</c:v>
                </c:pt>
                <c:pt idx="31">
                  <c:v>0.15112037519541399</c:v>
                </c:pt>
                <c:pt idx="32">
                  <c:v>0.46354166666666702</c:v>
                </c:pt>
                <c:pt idx="33">
                  <c:v>0.33333333333333298</c:v>
                </c:pt>
                <c:pt idx="34">
                  <c:v>0.265625</c:v>
                </c:pt>
                <c:pt idx="35">
                  <c:v>1.0416666666666701E-2</c:v>
                </c:pt>
                <c:pt idx="36">
                  <c:v>2.6041666666666699E-2</c:v>
                </c:pt>
                <c:pt idx="37">
                  <c:v>8.9285714285714302E-2</c:v>
                </c:pt>
                <c:pt idx="38">
                  <c:v>1.5625E-2</c:v>
                </c:pt>
                <c:pt idx="39">
                  <c:v>5.2083333333333296E-3</c:v>
                </c:pt>
                <c:pt idx="40">
                  <c:v>1E-3</c:v>
                </c:pt>
                <c:pt idx="41">
                  <c:v>1E-3</c:v>
                </c:pt>
                <c:pt idx="42">
                  <c:v>1E-3</c:v>
                </c:pt>
                <c:pt idx="43">
                  <c:v>1E-3</c:v>
                </c:pt>
                <c:pt idx="44">
                  <c:v>5.2083333333333296E-3</c:v>
                </c:pt>
                <c:pt idx="45">
                  <c:v>2.7777777777777801E-2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5-FE49-B5DC-1FBB5E53C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2009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25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FB-604B-9117-21F0CF82C8C6}"/>
              </c:ext>
            </c:extLst>
          </c:dPt>
          <c:dPt>
            <c:idx val="35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FB-604B-9117-21F0CF82C8C6}"/>
              </c:ext>
            </c:extLst>
          </c:dPt>
          <c:val>
            <c:numRef>
              <c:f>'SE data'!$N$324:$N$369</c:f>
              <c:numCache>
                <c:formatCode>General</c:formatCode>
                <c:ptCount val="46"/>
                <c:pt idx="0">
                  <c:v>1E-3</c:v>
                </c:pt>
                <c:pt idx="1">
                  <c:v>1E-3</c:v>
                </c:pt>
                <c:pt idx="2">
                  <c:v>5.2083333333333296E-3</c:v>
                </c:pt>
                <c:pt idx="3">
                  <c:v>5.2083333333333296E-3</c:v>
                </c:pt>
                <c:pt idx="4">
                  <c:v>1E-3</c:v>
                </c:pt>
                <c:pt idx="5">
                  <c:v>1E-3</c:v>
                </c:pt>
                <c:pt idx="6">
                  <c:v>5.2083333333333301E-2</c:v>
                </c:pt>
                <c:pt idx="7">
                  <c:v>1E-3</c:v>
                </c:pt>
                <c:pt idx="8">
                  <c:v>5.2083333333333296E-3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2.6041666666666699E-2</c:v>
                </c:pt>
                <c:pt idx="17">
                  <c:v>5.2083333333333296E-3</c:v>
                </c:pt>
                <c:pt idx="18">
                  <c:v>0.15104166666666699</c:v>
                </c:pt>
                <c:pt idx="19">
                  <c:v>0.76041666666666696</c:v>
                </c:pt>
                <c:pt idx="20">
                  <c:v>0.25</c:v>
                </c:pt>
                <c:pt idx="21">
                  <c:v>0.52604166666666696</c:v>
                </c:pt>
                <c:pt idx="22">
                  <c:v>0.69791666666666696</c:v>
                </c:pt>
                <c:pt idx="23">
                  <c:v>0.104166666666667</c:v>
                </c:pt>
                <c:pt idx="24">
                  <c:v>0.109375</c:v>
                </c:pt>
                <c:pt idx="25">
                  <c:v>0.78125</c:v>
                </c:pt>
                <c:pt idx="26">
                  <c:v>0.91666666666666696</c:v>
                </c:pt>
                <c:pt idx="27">
                  <c:v>0.6875</c:v>
                </c:pt>
                <c:pt idx="28">
                  <c:v>0.77604166666666696</c:v>
                </c:pt>
                <c:pt idx="29">
                  <c:v>0.96875</c:v>
                </c:pt>
                <c:pt idx="30">
                  <c:v>0.98958333333333304</c:v>
                </c:pt>
                <c:pt idx="31">
                  <c:v>0.94270833333333304</c:v>
                </c:pt>
                <c:pt idx="32">
                  <c:v>0.97916666666666696</c:v>
                </c:pt>
                <c:pt idx="33">
                  <c:v>1</c:v>
                </c:pt>
                <c:pt idx="34">
                  <c:v>1</c:v>
                </c:pt>
                <c:pt idx="35">
                  <c:v>0.88541666666666696</c:v>
                </c:pt>
                <c:pt idx="36">
                  <c:v>5.2083333333333301E-2</c:v>
                </c:pt>
                <c:pt idx="37">
                  <c:v>0.24404761904761901</c:v>
                </c:pt>
                <c:pt idx="38">
                  <c:v>4.1666666666666699E-2</c:v>
                </c:pt>
                <c:pt idx="39">
                  <c:v>0.16666666666666699</c:v>
                </c:pt>
                <c:pt idx="40">
                  <c:v>6.25E-2</c:v>
                </c:pt>
                <c:pt idx="41">
                  <c:v>1.5625E-2</c:v>
                </c:pt>
                <c:pt idx="42">
                  <c:v>1E-3</c:v>
                </c:pt>
                <c:pt idx="43">
                  <c:v>1.0416666666666701E-2</c:v>
                </c:pt>
                <c:pt idx="44">
                  <c:v>1E-3</c:v>
                </c:pt>
                <c:pt idx="4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FB-604B-9117-21F0CF82C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0A-6C42-911C-ADEB825F8E0A}"/>
              </c:ext>
            </c:extLst>
          </c:dPt>
          <c:dPt>
            <c:idx val="37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0A-6C42-911C-ADEB825F8E0A}"/>
              </c:ext>
            </c:extLst>
          </c:dPt>
          <c:val>
            <c:numRef>
              <c:f>'SE data'!$N$370:$N$415</c:f>
              <c:numCache>
                <c:formatCode>General</c:formatCode>
                <c:ptCount val="46"/>
                <c:pt idx="0">
                  <c:v>5.2110474205315296E-3</c:v>
                </c:pt>
                <c:pt idx="1">
                  <c:v>1.0416666666666701E-2</c:v>
                </c:pt>
                <c:pt idx="2">
                  <c:v>2.963841138115E-2</c:v>
                </c:pt>
                <c:pt idx="3">
                  <c:v>1.5625E-2</c:v>
                </c:pt>
                <c:pt idx="4">
                  <c:v>1E-3</c:v>
                </c:pt>
                <c:pt idx="5">
                  <c:v>4.1666666666666699E-2</c:v>
                </c:pt>
                <c:pt idx="6">
                  <c:v>2.6041666666666699E-2</c:v>
                </c:pt>
                <c:pt idx="7">
                  <c:v>1.0416666666666701E-2</c:v>
                </c:pt>
                <c:pt idx="8">
                  <c:v>1.0416666666666701E-2</c:v>
                </c:pt>
                <c:pt idx="9">
                  <c:v>5.2192066805845502E-3</c:v>
                </c:pt>
                <c:pt idx="10">
                  <c:v>5.3533190578158498E-3</c:v>
                </c:pt>
                <c:pt idx="11">
                  <c:v>5.2083333333333296E-3</c:v>
                </c:pt>
                <c:pt idx="12">
                  <c:v>5.2083333333333296E-3</c:v>
                </c:pt>
                <c:pt idx="13">
                  <c:v>1E-3</c:v>
                </c:pt>
                <c:pt idx="14">
                  <c:v>1E-3</c:v>
                </c:pt>
                <c:pt idx="15">
                  <c:v>0</c:v>
                </c:pt>
                <c:pt idx="16">
                  <c:v>0.54011119936457497</c:v>
                </c:pt>
                <c:pt idx="17">
                  <c:v>0.40021063717746203</c:v>
                </c:pt>
                <c:pt idx="18">
                  <c:v>9.375E-2</c:v>
                </c:pt>
                <c:pt idx="19">
                  <c:v>5.2083333333333296E-3</c:v>
                </c:pt>
                <c:pt idx="20">
                  <c:v>0.52604166666666696</c:v>
                </c:pt>
                <c:pt idx="21">
                  <c:v>0.38541666666666702</c:v>
                </c:pt>
                <c:pt idx="22">
                  <c:v>5.2083333333333296E-3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5.2083333333333296E-3</c:v>
                </c:pt>
                <c:pt idx="27">
                  <c:v>8.3333333333333301E-2</c:v>
                </c:pt>
                <c:pt idx="28">
                  <c:v>2.0833333333333301E-2</c:v>
                </c:pt>
                <c:pt idx="29">
                  <c:v>4.6875E-2</c:v>
                </c:pt>
                <c:pt idx="30">
                  <c:v>0.91145833333333304</c:v>
                </c:pt>
                <c:pt idx="31">
                  <c:v>0.94791666666666696</c:v>
                </c:pt>
                <c:pt idx="32">
                  <c:v>0.81770833333333304</c:v>
                </c:pt>
                <c:pt idx="33">
                  <c:v>0.99479166666666696</c:v>
                </c:pt>
                <c:pt idx="34">
                  <c:v>0.97395833333333304</c:v>
                </c:pt>
                <c:pt idx="35">
                  <c:v>1</c:v>
                </c:pt>
                <c:pt idx="36">
                  <c:v>0.953125</c:v>
                </c:pt>
                <c:pt idx="37">
                  <c:v>0.94270833333333304</c:v>
                </c:pt>
                <c:pt idx="38">
                  <c:v>0.29166666666666702</c:v>
                </c:pt>
                <c:pt idx="39">
                  <c:v>0.14583333333333301</c:v>
                </c:pt>
                <c:pt idx="40">
                  <c:v>8.8541666666666699E-2</c:v>
                </c:pt>
                <c:pt idx="41">
                  <c:v>1E-3</c:v>
                </c:pt>
                <c:pt idx="42">
                  <c:v>3.6458333333333301E-2</c:v>
                </c:pt>
                <c:pt idx="43">
                  <c:v>2.0833333333333301E-2</c:v>
                </c:pt>
                <c:pt idx="44">
                  <c:v>2.0833333333333301E-2</c:v>
                </c:pt>
                <c:pt idx="4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0A-6C42-911C-ADEB825F8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22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76-6841-9572-DF71464C5003}"/>
              </c:ext>
            </c:extLst>
          </c:dPt>
          <c:dPt>
            <c:idx val="32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76-6841-9572-DF71464C5003}"/>
              </c:ext>
            </c:extLst>
          </c:dPt>
          <c:dPt>
            <c:idx val="34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76-6841-9572-DF71464C5003}"/>
              </c:ext>
            </c:extLst>
          </c:dPt>
          <c:dPt>
            <c:idx val="39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76-6841-9572-DF71464C5003}"/>
              </c:ext>
            </c:extLst>
          </c:dPt>
          <c:val>
            <c:numRef>
              <c:f>'SE data'!$N$416:$N$461</c:f>
              <c:numCache>
                <c:formatCode>General</c:formatCode>
                <c:ptCount val="46"/>
                <c:pt idx="0">
                  <c:v>1.0416666666666701E-2</c:v>
                </c:pt>
                <c:pt idx="1">
                  <c:v>1E-3</c:v>
                </c:pt>
                <c:pt idx="2">
                  <c:v>1E-3</c:v>
                </c:pt>
                <c:pt idx="3">
                  <c:v>3.125E-2</c:v>
                </c:pt>
                <c:pt idx="4">
                  <c:v>5.2083333333333296E-3</c:v>
                </c:pt>
                <c:pt idx="5">
                  <c:v>1E-3</c:v>
                </c:pt>
                <c:pt idx="6">
                  <c:v>1.0422094841063099E-2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6.7708333333333301E-2</c:v>
                </c:pt>
                <c:pt idx="13">
                  <c:v>8.0971659919028306E-3</c:v>
                </c:pt>
                <c:pt idx="14">
                  <c:v>5.2083333333333296E-3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1.0416666666666701E-2</c:v>
                </c:pt>
                <c:pt idx="20">
                  <c:v>2.6041666666666699E-2</c:v>
                </c:pt>
                <c:pt idx="21">
                  <c:v>0.20833333333333301</c:v>
                </c:pt>
                <c:pt idx="22">
                  <c:v>0.875</c:v>
                </c:pt>
                <c:pt idx="23">
                  <c:v>0.96354166666666696</c:v>
                </c:pt>
                <c:pt idx="24">
                  <c:v>0.80729166666666696</c:v>
                </c:pt>
                <c:pt idx="25">
                  <c:v>0.96875</c:v>
                </c:pt>
                <c:pt idx="26">
                  <c:v>0.80729166666666696</c:v>
                </c:pt>
                <c:pt idx="27">
                  <c:v>0.80729166666666696</c:v>
                </c:pt>
                <c:pt idx="28">
                  <c:v>1</c:v>
                </c:pt>
                <c:pt idx="29">
                  <c:v>1</c:v>
                </c:pt>
                <c:pt idx="30">
                  <c:v>0.91145833333333304</c:v>
                </c:pt>
                <c:pt idx="31">
                  <c:v>0.69791666666666696</c:v>
                </c:pt>
                <c:pt idx="32">
                  <c:v>0.51041666666666696</c:v>
                </c:pt>
                <c:pt idx="33">
                  <c:v>0.34375</c:v>
                </c:pt>
                <c:pt idx="34">
                  <c:v>0.74479166666666696</c:v>
                </c:pt>
                <c:pt idx="35">
                  <c:v>0.75520833333333304</c:v>
                </c:pt>
                <c:pt idx="36">
                  <c:v>0.546875</c:v>
                </c:pt>
                <c:pt idx="37">
                  <c:v>0.97916666666666696</c:v>
                </c:pt>
                <c:pt idx="38">
                  <c:v>0.44791666666666702</c:v>
                </c:pt>
                <c:pt idx="39">
                  <c:v>0.59895833333333304</c:v>
                </c:pt>
                <c:pt idx="40">
                  <c:v>0.23958333333333301</c:v>
                </c:pt>
                <c:pt idx="41">
                  <c:v>0.25520833333333298</c:v>
                </c:pt>
                <c:pt idx="42">
                  <c:v>3.125E-2</c:v>
                </c:pt>
                <c:pt idx="43">
                  <c:v>5.2083333333333296E-3</c:v>
                </c:pt>
                <c:pt idx="44">
                  <c:v>1E-3</c:v>
                </c:pt>
                <c:pt idx="4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76-6841-9572-DF71464C5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24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87-D648-8A8F-12C079FDFCF9}"/>
              </c:ext>
            </c:extLst>
          </c:dPt>
          <c:dPt>
            <c:idx val="36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87-D648-8A8F-12C079FDFCF9}"/>
              </c:ext>
            </c:extLst>
          </c:dPt>
          <c:dPt>
            <c:idx val="40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87-D648-8A8F-12C079FDFCF9}"/>
              </c:ext>
            </c:extLst>
          </c:dPt>
          <c:dPt>
            <c:idx val="45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187-D648-8A8F-12C079FDFCF9}"/>
              </c:ext>
            </c:extLst>
          </c:dPt>
          <c:val>
            <c:numRef>
              <c:f>'SE data'!$N$462:$N$507</c:f>
              <c:numCache>
                <c:formatCode>General</c:formatCode>
                <c:ptCount val="46"/>
                <c:pt idx="0">
                  <c:v>1E-3</c:v>
                </c:pt>
                <c:pt idx="1">
                  <c:v>5.2083333333333296E-3</c:v>
                </c:pt>
                <c:pt idx="2">
                  <c:v>5.2110474205315296E-3</c:v>
                </c:pt>
                <c:pt idx="3">
                  <c:v>1.0416666666666701E-2</c:v>
                </c:pt>
                <c:pt idx="4">
                  <c:v>2.0833333333333301E-2</c:v>
                </c:pt>
                <c:pt idx="5">
                  <c:v>1.0416666666666701E-2</c:v>
                </c:pt>
                <c:pt idx="6">
                  <c:v>5.2083333333333296E-3</c:v>
                </c:pt>
                <c:pt idx="7">
                  <c:v>1E-3</c:v>
                </c:pt>
                <c:pt idx="8">
                  <c:v>1E-3</c:v>
                </c:pt>
                <c:pt idx="9">
                  <c:v>5.2083333333333296E-3</c:v>
                </c:pt>
                <c:pt idx="10">
                  <c:v>1E-3</c:v>
                </c:pt>
                <c:pt idx="11">
                  <c:v>1E-3</c:v>
                </c:pt>
                <c:pt idx="12">
                  <c:v>5.2083333333333296E-3</c:v>
                </c:pt>
                <c:pt idx="13">
                  <c:v>1E-3</c:v>
                </c:pt>
                <c:pt idx="14">
                  <c:v>1E-3</c:v>
                </c:pt>
                <c:pt idx="15">
                  <c:v>0.171875</c:v>
                </c:pt>
                <c:pt idx="16">
                  <c:v>3.125E-2</c:v>
                </c:pt>
                <c:pt idx="17">
                  <c:v>0.18229166666666699</c:v>
                </c:pt>
                <c:pt idx="18">
                  <c:v>0.36458333333333298</c:v>
                </c:pt>
                <c:pt idx="19">
                  <c:v>0.78645833333333304</c:v>
                </c:pt>
                <c:pt idx="20">
                  <c:v>0.28645833333333298</c:v>
                </c:pt>
                <c:pt idx="21">
                  <c:v>0.49479166666666702</c:v>
                </c:pt>
                <c:pt idx="22">
                  <c:v>0.22916666666666699</c:v>
                </c:pt>
                <c:pt idx="23">
                  <c:v>1.5625E-2</c:v>
                </c:pt>
                <c:pt idx="24">
                  <c:v>0.33854166666666702</c:v>
                </c:pt>
                <c:pt idx="25">
                  <c:v>0.671875</c:v>
                </c:pt>
                <c:pt idx="26">
                  <c:v>0.765625</c:v>
                </c:pt>
                <c:pt idx="27">
                  <c:v>0.90625</c:v>
                </c:pt>
                <c:pt idx="28">
                  <c:v>1</c:v>
                </c:pt>
                <c:pt idx="29">
                  <c:v>1</c:v>
                </c:pt>
                <c:pt idx="30">
                  <c:v>0.921875</c:v>
                </c:pt>
                <c:pt idx="31">
                  <c:v>0.97916666666666696</c:v>
                </c:pt>
                <c:pt idx="32">
                  <c:v>1</c:v>
                </c:pt>
                <c:pt idx="33">
                  <c:v>0.984375</c:v>
                </c:pt>
                <c:pt idx="34">
                  <c:v>0.69791666666666696</c:v>
                </c:pt>
                <c:pt idx="35">
                  <c:v>0.46354166666666702</c:v>
                </c:pt>
                <c:pt idx="36">
                  <c:v>0.94791666666666696</c:v>
                </c:pt>
                <c:pt idx="37">
                  <c:v>0.30729166666666702</c:v>
                </c:pt>
                <c:pt idx="38">
                  <c:v>0.36979166666666702</c:v>
                </c:pt>
                <c:pt idx="39">
                  <c:v>0.38020833333333298</c:v>
                </c:pt>
                <c:pt idx="40">
                  <c:v>0.72395833333333304</c:v>
                </c:pt>
                <c:pt idx="41">
                  <c:v>0.19791666666666699</c:v>
                </c:pt>
                <c:pt idx="42">
                  <c:v>0.99479166666666696</c:v>
                </c:pt>
                <c:pt idx="43">
                  <c:v>0.60416666666666696</c:v>
                </c:pt>
                <c:pt idx="44">
                  <c:v>0.56770833333333304</c:v>
                </c:pt>
                <c:pt idx="45">
                  <c:v>0.30555555555555602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87-D648-8A8F-12C079FDF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18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B9-D545-84DF-BF7CE7AAD7AC}"/>
              </c:ext>
            </c:extLst>
          </c:dPt>
          <c:dPt>
            <c:idx val="28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B9-D545-84DF-BF7CE7AAD7AC}"/>
              </c:ext>
            </c:extLst>
          </c:dPt>
          <c:dPt>
            <c:idx val="30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B9-D545-84DF-BF7CE7AAD7AC}"/>
              </c:ext>
            </c:extLst>
          </c:dPt>
          <c:dPt>
            <c:idx val="37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B9-D545-84DF-BF7CE7AAD7AC}"/>
              </c:ext>
            </c:extLst>
          </c:dPt>
          <c:val>
            <c:numRef>
              <c:f>'SE data'!$N$508:$N$553</c:f>
              <c:numCache>
                <c:formatCode>General</c:formatCode>
                <c:ptCount val="46"/>
                <c:pt idx="0">
                  <c:v>2.0833333333333301E-2</c:v>
                </c:pt>
                <c:pt idx="1">
                  <c:v>4.6875E-2</c:v>
                </c:pt>
                <c:pt idx="2">
                  <c:v>0.125</c:v>
                </c:pt>
                <c:pt idx="3">
                  <c:v>6.7708333333333301E-2</c:v>
                </c:pt>
                <c:pt idx="4">
                  <c:v>8.3333333333333301E-2</c:v>
                </c:pt>
                <c:pt idx="5">
                  <c:v>0.140625</c:v>
                </c:pt>
                <c:pt idx="6">
                  <c:v>0.20833333333333301</c:v>
                </c:pt>
                <c:pt idx="7">
                  <c:v>1E-3</c:v>
                </c:pt>
                <c:pt idx="8">
                  <c:v>2.6041666666666699E-2</c:v>
                </c:pt>
                <c:pt idx="9">
                  <c:v>0.1875</c:v>
                </c:pt>
                <c:pt idx="10">
                  <c:v>0.75</c:v>
                </c:pt>
                <c:pt idx="11">
                  <c:v>0.75520833333333304</c:v>
                </c:pt>
                <c:pt idx="12">
                  <c:v>0.55208333333333304</c:v>
                </c:pt>
                <c:pt idx="13">
                  <c:v>0.36979166666666702</c:v>
                </c:pt>
                <c:pt idx="14">
                  <c:v>0.30729166666666702</c:v>
                </c:pt>
                <c:pt idx="15">
                  <c:v>0.34895833333333298</c:v>
                </c:pt>
                <c:pt idx="16">
                  <c:v>0.30729166666666702</c:v>
                </c:pt>
                <c:pt idx="17">
                  <c:v>0.375</c:v>
                </c:pt>
                <c:pt idx="18">
                  <c:v>0.88020833333333304</c:v>
                </c:pt>
                <c:pt idx="19">
                  <c:v>0.75</c:v>
                </c:pt>
                <c:pt idx="20">
                  <c:v>0.97395833333333304</c:v>
                </c:pt>
                <c:pt idx="21">
                  <c:v>0.99479166666666696</c:v>
                </c:pt>
                <c:pt idx="22">
                  <c:v>0.96354166666666696</c:v>
                </c:pt>
                <c:pt idx="23">
                  <c:v>0.88541666666666696</c:v>
                </c:pt>
                <c:pt idx="24">
                  <c:v>0.95833333333333304</c:v>
                </c:pt>
                <c:pt idx="25">
                  <c:v>0.80729166666666696</c:v>
                </c:pt>
                <c:pt idx="26">
                  <c:v>0.69791666666666696</c:v>
                </c:pt>
                <c:pt idx="27">
                  <c:v>0.65104166666666696</c:v>
                </c:pt>
                <c:pt idx="28">
                  <c:v>0.81770833333333304</c:v>
                </c:pt>
                <c:pt idx="29">
                  <c:v>0.19270833333333301</c:v>
                </c:pt>
                <c:pt idx="30">
                  <c:v>0.49479166666666702</c:v>
                </c:pt>
                <c:pt idx="31">
                  <c:v>0.91666666666666696</c:v>
                </c:pt>
                <c:pt idx="32">
                  <c:v>0.99479166666666696</c:v>
                </c:pt>
                <c:pt idx="33">
                  <c:v>0.984375</c:v>
                </c:pt>
                <c:pt idx="34">
                  <c:v>0.953125</c:v>
                </c:pt>
                <c:pt idx="35">
                  <c:v>0.99479166666666696</c:v>
                </c:pt>
                <c:pt idx="36">
                  <c:v>0.83854166666666696</c:v>
                </c:pt>
                <c:pt idx="37">
                  <c:v>0.44270833333333298</c:v>
                </c:pt>
                <c:pt idx="38">
                  <c:v>0.21354166666666699</c:v>
                </c:pt>
                <c:pt idx="39">
                  <c:v>0.265625</c:v>
                </c:pt>
                <c:pt idx="40">
                  <c:v>4.6875E-2</c:v>
                </c:pt>
                <c:pt idx="41">
                  <c:v>0.22916666666666699</c:v>
                </c:pt>
                <c:pt idx="42">
                  <c:v>0.13020833333333301</c:v>
                </c:pt>
                <c:pt idx="43">
                  <c:v>1.5625E-2</c:v>
                </c:pt>
                <c:pt idx="44">
                  <c:v>3.125E-2</c:v>
                </c:pt>
                <c:pt idx="45">
                  <c:v>8.3333333333333297E-3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B9-D545-84DF-BF7CE7AAD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26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8C-4D41-859E-1FD85276EED3}"/>
              </c:ext>
            </c:extLst>
          </c:dPt>
          <c:dPt>
            <c:idx val="30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8C-4D41-859E-1FD85276EED3}"/>
              </c:ext>
            </c:extLst>
          </c:dPt>
          <c:dPt>
            <c:idx val="32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E8C-4D41-859E-1FD85276EED3}"/>
              </c:ext>
            </c:extLst>
          </c:dPt>
          <c:dPt>
            <c:idx val="44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E8C-4D41-859E-1FD85276EED3}"/>
              </c:ext>
            </c:extLst>
          </c:dPt>
          <c:val>
            <c:numRef>
              <c:f>'SE data'!$N$554:$N$599</c:f>
              <c:numCache>
                <c:formatCode>General</c:formatCode>
                <c:ptCount val="46"/>
                <c:pt idx="0">
                  <c:v>3.6458333333333301E-2</c:v>
                </c:pt>
                <c:pt idx="1">
                  <c:v>0.109375</c:v>
                </c:pt>
                <c:pt idx="2">
                  <c:v>5.7291666666666699E-2</c:v>
                </c:pt>
                <c:pt idx="3">
                  <c:v>1.5625E-2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0.17782426778242699</c:v>
                </c:pt>
                <c:pt idx="8">
                  <c:v>0.125260960334029</c:v>
                </c:pt>
                <c:pt idx="9">
                  <c:v>0.3125</c:v>
                </c:pt>
                <c:pt idx="10">
                  <c:v>0.19791666666666699</c:v>
                </c:pt>
                <c:pt idx="11">
                  <c:v>5.2083333333333296E-3</c:v>
                </c:pt>
                <c:pt idx="12">
                  <c:v>2.0833333333333301E-2</c:v>
                </c:pt>
                <c:pt idx="13">
                  <c:v>1.0416666666666701E-2</c:v>
                </c:pt>
                <c:pt idx="14">
                  <c:v>5.2083333333333296E-3</c:v>
                </c:pt>
                <c:pt idx="15">
                  <c:v>0.104166666666667</c:v>
                </c:pt>
                <c:pt idx="16">
                  <c:v>2.6041666666666699E-2</c:v>
                </c:pt>
                <c:pt idx="17">
                  <c:v>1E-3</c:v>
                </c:pt>
                <c:pt idx="18">
                  <c:v>1E-3</c:v>
                </c:pt>
                <c:pt idx="19">
                  <c:v>5.2219321148825101E-3</c:v>
                </c:pt>
                <c:pt idx="20">
                  <c:v>0.83744100681698996</c:v>
                </c:pt>
                <c:pt idx="21">
                  <c:v>0.45430809399477801</c:v>
                </c:pt>
                <c:pt idx="22">
                  <c:v>6.7814293166405804E-2</c:v>
                </c:pt>
                <c:pt idx="23">
                  <c:v>3.125E-2</c:v>
                </c:pt>
                <c:pt idx="24">
                  <c:v>0.125</c:v>
                </c:pt>
                <c:pt idx="25">
                  <c:v>0.109375</c:v>
                </c:pt>
                <c:pt idx="26">
                  <c:v>0.71354166666666696</c:v>
                </c:pt>
                <c:pt idx="27">
                  <c:v>0.94791666666666696</c:v>
                </c:pt>
                <c:pt idx="28">
                  <c:v>0.99479166666666696</c:v>
                </c:pt>
                <c:pt idx="29">
                  <c:v>1</c:v>
                </c:pt>
                <c:pt idx="30">
                  <c:v>0.98958333333333304</c:v>
                </c:pt>
                <c:pt idx="31">
                  <c:v>0.34946236559139798</c:v>
                </c:pt>
                <c:pt idx="32">
                  <c:v>0.640625</c:v>
                </c:pt>
                <c:pt idx="33">
                  <c:v>0.80729166666666696</c:v>
                </c:pt>
                <c:pt idx="34">
                  <c:v>0.92708333333333304</c:v>
                </c:pt>
                <c:pt idx="35">
                  <c:v>0.90625</c:v>
                </c:pt>
                <c:pt idx="36">
                  <c:v>0.921875</c:v>
                </c:pt>
                <c:pt idx="37">
                  <c:v>0.828125</c:v>
                </c:pt>
                <c:pt idx="38">
                  <c:v>0.97395833333333304</c:v>
                </c:pt>
                <c:pt idx="39">
                  <c:v>0.984375</c:v>
                </c:pt>
                <c:pt idx="40">
                  <c:v>0.97916666666666696</c:v>
                </c:pt>
                <c:pt idx="41">
                  <c:v>0.83333333333333304</c:v>
                </c:pt>
                <c:pt idx="42">
                  <c:v>0.72395833333333304</c:v>
                </c:pt>
                <c:pt idx="43">
                  <c:v>0.49066666666666697</c:v>
                </c:pt>
                <c:pt idx="44">
                  <c:v>0.35416666666666702</c:v>
                </c:pt>
                <c:pt idx="4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8C-4D41-859E-1FD85276E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18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08-444E-A27F-61B2B7939FDB}"/>
              </c:ext>
            </c:extLst>
          </c:dPt>
          <c:dPt>
            <c:idx val="23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08-444E-A27F-61B2B7939FDB}"/>
              </c:ext>
            </c:extLst>
          </c:dPt>
          <c:dPt>
            <c:idx val="26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D08-444E-A27F-61B2B7939FDB}"/>
              </c:ext>
            </c:extLst>
          </c:dPt>
          <c:dPt>
            <c:idx val="32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D08-444E-A27F-61B2B7939FDB}"/>
              </c:ext>
            </c:extLst>
          </c:dPt>
          <c:dPt>
            <c:idx val="35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D08-444E-A27F-61B2B7939FDB}"/>
              </c:ext>
            </c:extLst>
          </c:dPt>
          <c:dPt>
            <c:idx val="43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D08-444E-A27F-61B2B7939FDB}"/>
              </c:ext>
            </c:extLst>
          </c:dPt>
          <c:val>
            <c:numRef>
              <c:f>'SE data'!$N$600:$N$645</c:f>
              <c:numCache>
                <c:formatCode>General</c:formatCode>
                <c:ptCount val="46"/>
                <c:pt idx="0">
                  <c:v>0.11413043478260899</c:v>
                </c:pt>
                <c:pt idx="1">
                  <c:v>4.6875E-2</c:v>
                </c:pt>
                <c:pt idx="2">
                  <c:v>5.2083333333333296E-3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4.1666666666666699E-2</c:v>
                </c:pt>
                <c:pt idx="9">
                  <c:v>4.6875E-2</c:v>
                </c:pt>
                <c:pt idx="10">
                  <c:v>2.0833333333333301E-2</c:v>
                </c:pt>
                <c:pt idx="11">
                  <c:v>0.45833333333333298</c:v>
                </c:pt>
                <c:pt idx="12">
                  <c:v>0.140625</c:v>
                </c:pt>
                <c:pt idx="13">
                  <c:v>5.2083333333333296E-3</c:v>
                </c:pt>
                <c:pt idx="14">
                  <c:v>9.8958333333333301E-2</c:v>
                </c:pt>
                <c:pt idx="15">
                  <c:v>0.63641105894627004</c:v>
                </c:pt>
                <c:pt idx="16">
                  <c:v>0.73958333333333304</c:v>
                </c:pt>
                <c:pt idx="17">
                  <c:v>0.453125</c:v>
                </c:pt>
                <c:pt idx="18">
                  <c:v>0.82291666666666696</c:v>
                </c:pt>
                <c:pt idx="19">
                  <c:v>0.65625</c:v>
                </c:pt>
                <c:pt idx="20">
                  <c:v>0.94791666666666696</c:v>
                </c:pt>
                <c:pt idx="21">
                  <c:v>0.94270833333333304</c:v>
                </c:pt>
                <c:pt idx="22">
                  <c:v>1</c:v>
                </c:pt>
                <c:pt idx="23">
                  <c:v>0.94270833333333304</c:v>
                </c:pt>
                <c:pt idx="24">
                  <c:v>0.5</c:v>
                </c:pt>
                <c:pt idx="25">
                  <c:v>0.56770833333333304</c:v>
                </c:pt>
                <c:pt idx="26">
                  <c:v>0.984375</c:v>
                </c:pt>
                <c:pt idx="27">
                  <c:v>1</c:v>
                </c:pt>
                <c:pt idx="28">
                  <c:v>0.875</c:v>
                </c:pt>
                <c:pt idx="29">
                  <c:v>0.9375</c:v>
                </c:pt>
                <c:pt idx="30">
                  <c:v>0.91596638655462204</c:v>
                </c:pt>
                <c:pt idx="31">
                  <c:v>0.90104166666666696</c:v>
                </c:pt>
                <c:pt idx="32">
                  <c:v>0.328125</c:v>
                </c:pt>
                <c:pt idx="33">
                  <c:v>7.8125E-2</c:v>
                </c:pt>
                <c:pt idx="34">
                  <c:v>0.26041666666666702</c:v>
                </c:pt>
                <c:pt idx="35">
                  <c:v>0.578125</c:v>
                </c:pt>
                <c:pt idx="36">
                  <c:v>0.90104166666666696</c:v>
                </c:pt>
                <c:pt idx="37">
                  <c:v>1</c:v>
                </c:pt>
                <c:pt idx="38">
                  <c:v>1</c:v>
                </c:pt>
                <c:pt idx="39">
                  <c:v>0.97307485191168597</c:v>
                </c:pt>
                <c:pt idx="40">
                  <c:v>0.66666666666666696</c:v>
                </c:pt>
                <c:pt idx="41">
                  <c:v>0.75520833333333304</c:v>
                </c:pt>
                <c:pt idx="42">
                  <c:v>0.65625</c:v>
                </c:pt>
                <c:pt idx="43">
                  <c:v>0.44791666666666702</c:v>
                </c:pt>
                <c:pt idx="44">
                  <c:v>5.7925223802001102E-2</c:v>
                </c:pt>
                <c:pt idx="45">
                  <c:v>1.6666666666666701E-2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D08-444E-A27F-61B2B7939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21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30-A241-A63B-F86937A1FEDD}"/>
              </c:ext>
            </c:extLst>
          </c:dPt>
          <c:dPt>
            <c:idx val="33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630-A241-A63B-F86937A1FEDD}"/>
              </c:ext>
            </c:extLst>
          </c:dPt>
          <c:dPt>
            <c:idx val="36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630-A241-A63B-F86937A1FEDD}"/>
              </c:ext>
            </c:extLst>
          </c:dPt>
          <c:dPt>
            <c:idx val="37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630-A241-A63B-F86937A1FEDD}"/>
              </c:ext>
            </c:extLst>
          </c:dPt>
          <c:val>
            <c:numRef>
              <c:f>'SE data'!$N$646:$N$691</c:f>
              <c:numCache>
                <c:formatCode>General</c:formatCode>
                <c:ptCount val="46"/>
                <c:pt idx="0">
                  <c:v>2.0833333333333301E-2</c:v>
                </c:pt>
                <c:pt idx="1">
                  <c:v>1E-3</c:v>
                </c:pt>
                <c:pt idx="2">
                  <c:v>2.6041666666666699E-2</c:v>
                </c:pt>
                <c:pt idx="3">
                  <c:v>1E-3</c:v>
                </c:pt>
                <c:pt idx="4">
                  <c:v>1.0416666666666701E-2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5.2083333333333296E-3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1.5625E-2</c:v>
                </c:pt>
                <c:pt idx="20">
                  <c:v>5.2083333333333296E-3</c:v>
                </c:pt>
                <c:pt idx="21">
                  <c:v>0.58333333333333304</c:v>
                </c:pt>
                <c:pt idx="22">
                  <c:v>0.99479166666666696</c:v>
                </c:pt>
                <c:pt idx="23">
                  <c:v>1</c:v>
                </c:pt>
                <c:pt idx="24">
                  <c:v>1</c:v>
                </c:pt>
                <c:pt idx="25">
                  <c:v>0.75</c:v>
                </c:pt>
                <c:pt idx="26">
                  <c:v>0.78125</c:v>
                </c:pt>
                <c:pt idx="27">
                  <c:v>0.78125</c:v>
                </c:pt>
                <c:pt idx="28">
                  <c:v>0.85416666666666696</c:v>
                </c:pt>
                <c:pt idx="29">
                  <c:v>0.984375</c:v>
                </c:pt>
                <c:pt idx="30">
                  <c:v>0.77083333333333304</c:v>
                </c:pt>
                <c:pt idx="31">
                  <c:v>0.77604166666666696</c:v>
                </c:pt>
                <c:pt idx="32">
                  <c:v>0.953125</c:v>
                </c:pt>
                <c:pt idx="33">
                  <c:v>0.984375</c:v>
                </c:pt>
                <c:pt idx="34">
                  <c:v>0.51148225469728603</c:v>
                </c:pt>
                <c:pt idx="35">
                  <c:v>0.44791666666666702</c:v>
                </c:pt>
                <c:pt idx="36">
                  <c:v>0.82325338894681999</c:v>
                </c:pt>
                <c:pt idx="37">
                  <c:v>0.91762252346193995</c:v>
                </c:pt>
                <c:pt idx="38">
                  <c:v>0.30729166666666702</c:v>
                </c:pt>
                <c:pt idx="39">
                  <c:v>0.55208333333333304</c:v>
                </c:pt>
                <c:pt idx="40">
                  <c:v>0.25520833333333298</c:v>
                </c:pt>
                <c:pt idx="41">
                  <c:v>0</c:v>
                </c:pt>
                <c:pt idx="42">
                  <c:v>1.0422094841063099E-2</c:v>
                </c:pt>
                <c:pt idx="43">
                  <c:v>1E-3</c:v>
                </c:pt>
                <c:pt idx="44">
                  <c:v>1E-3</c:v>
                </c:pt>
                <c:pt idx="4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30-A241-A63B-F86937A1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18-4740-8D4C-FD76F1EB5099}"/>
              </c:ext>
            </c:extLst>
          </c:dPt>
          <c:dPt>
            <c:idx val="22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18-4740-8D4C-FD76F1EB5099}"/>
              </c:ext>
            </c:extLst>
          </c:dPt>
          <c:dPt>
            <c:idx val="24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18-4740-8D4C-FD76F1EB5099}"/>
              </c:ext>
            </c:extLst>
          </c:dPt>
          <c:dPt>
            <c:idx val="41"/>
            <c:invertIfNegative val="0"/>
            <c:bubble3D val="0"/>
            <c:spPr>
              <a:solidFill>
                <a:srgbClr val="9411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18-4740-8D4C-FD76F1EB5099}"/>
              </c:ext>
            </c:extLst>
          </c:dPt>
          <c:val>
            <c:numRef>
              <c:f>'SE data'!$N$692:$N$737</c:f>
              <c:numCache>
                <c:formatCode>General</c:formatCode>
                <c:ptCount val="46"/>
                <c:pt idx="0">
                  <c:v>1.5625E-2</c:v>
                </c:pt>
                <c:pt idx="1">
                  <c:v>1.0416666666666701E-2</c:v>
                </c:pt>
                <c:pt idx="2">
                  <c:v>1E-3</c:v>
                </c:pt>
                <c:pt idx="3">
                  <c:v>1E-3</c:v>
                </c:pt>
                <c:pt idx="4">
                  <c:v>5.2083333333333296E-3</c:v>
                </c:pt>
                <c:pt idx="5">
                  <c:v>7.2916666666666699E-2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1.0416666666666701E-2</c:v>
                </c:pt>
                <c:pt idx="12">
                  <c:v>1.5625E-2</c:v>
                </c:pt>
                <c:pt idx="13">
                  <c:v>0.20833333333333301</c:v>
                </c:pt>
                <c:pt idx="14">
                  <c:v>0.171875</c:v>
                </c:pt>
                <c:pt idx="15">
                  <c:v>0.33333333333333298</c:v>
                </c:pt>
                <c:pt idx="16">
                  <c:v>0.19270833333333301</c:v>
                </c:pt>
                <c:pt idx="17">
                  <c:v>0.71875</c:v>
                </c:pt>
                <c:pt idx="18">
                  <c:v>0.98958333333333304</c:v>
                </c:pt>
                <c:pt idx="19">
                  <c:v>1</c:v>
                </c:pt>
                <c:pt idx="20">
                  <c:v>1</c:v>
                </c:pt>
                <c:pt idx="21">
                  <c:v>0.97916666666666696</c:v>
                </c:pt>
                <c:pt idx="22">
                  <c:v>0.93229166666666696</c:v>
                </c:pt>
                <c:pt idx="23">
                  <c:v>0.49479166666666702</c:v>
                </c:pt>
                <c:pt idx="24">
                  <c:v>0.91666666666666696</c:v>
                </c:pt>
                <c:pt idx="25">
                  <c:v>1</c:v>
                </c:pt>
                <c:pt idx="26">
                  <c:v>0.98958333333333304</c:v>
                </c:pt>
                <c:pt idx="27">
                  <c:v>0.890625</c:v>
                </c:pt>
                <c:pt idx="28">
                  <c:v>0.85416666666666696</c:v>
                </c:pt>
                <c:pt idx="29">
                  <c:v>0.67708333333333304</c:v>
                </c:pt>
                <c:pt idx="30">
                  <c:v>0.96352266805627895</c:v>
                </c:pt>
                <c:pt idx="31">
                  <c:v>0.97916666666666696</c:v>
                </c:pt>
                <c:pt idx="32">
                  <c:v>0.8125</c:v>
                </c:pt>
                <c:pt idx="33">
                  <c:v>1</c:v>
                </c:pt>
                <c:pt idx="34">
                  <c:v>0.96875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0.97916666666666696</c:v>
                </c:pt>
                <c:pt idx="39">
                  <c:v>0.88020833333333304</c:v>
                </c:pt>
                <c:pt idx="40">
                  <c:v>0.88541666666666696</c:v>
                </c:pt>
                <c:pt idx="41">
                  <c:v>0.78125</c:v>
                </c:pt>
                <c:pt idx="42">
                  <c:v>0.19672131147541</c:v>
                </c:pt>
                <c:pt idx="43">
                  <c:v>0.41145833333333298</c:v>
                </c:pt>
                <c:pt idx="44">
                  <c:v>0.33854166666666702</c:v>
                </c:pt>
                <c:pt idx="45">
                  <c:v>3.3333333333333298E-2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18-4740-8D4C-FD76F1EB5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9050">
              <a:noFill/>
            </a:ln>
            <a:effectLst/>
          </c:spPr>
          <c:invertIfNegative val="0"/>
          <c:val>
            <c:numRef>
              <c:f>'SE data'!$N$738:$N$783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1.5625E-2</c:v>
                </c:pt>
                <c:pt idx="4">
                  <c:v>0.53645833333333304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0.38020833333333298</c:v>
                </c:pt>
                <c:pt idx="9">
                  <c:v>2.60688216892596E-2</c:v>
                </c:pt>
                <c:pt idx="10">
                  <c:v>0.13020833333333301</c:v>
                </c:pt>
                <c:pt idx="11">
                  <c:v>1.0443864229764999E-2</c:v>
                </c:pt>
                <c:pt idx="12">
                  <c:v>1E-3</c:v>
                </c:pt>
                <c:pt idx="13">
                  <c:v>1.0582010582010601E-2</c:v>
                </c:pt>
                <c:pt idx="14">
                  <c:v>2.7932960893854698E-2</c:v>
                </c:pt>
                <c:pt idx="15">
                  <c:v>1.5625E-2</c:v>
                </c:pt>
                <c:pt idx="16">
                  <c:v>1.5625E-2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0.984375</c:v>
                </c:pt>
                <c:pt idx="21">
                  <c:v>0.89528795811518302</c:v>
                </c:pt>
                <c:pt idx="22">
                  <c:v>0.90083565459610004</c:v>
                </c:pt>
                <c:pt idx="23">
                  <c:v>0.69270833333333304</c:v>
                </c:pt>
                <c:pt idx="24">
                  <c:v>0.5</c:v>
                </c:pt>
                <c:pt idx="25">
                  <c:v>0.30952380952380998</c:v>
                </c:pt>
                <c:pt idx="26">
                  <c:v>0.36458333333333298</c:v>
                </c:pt>
                <c:pt idx="27">
                  <c:v>0.97395833333333304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7-F744-85F5-76167B0B6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528722351"/>
        <c:axId val="528507503"/>
      </c:barChart>
      <c:catAx>
        <c:axId val="528722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28507503"/>
        <c:crosses val="autoZero"/>
        <c:auto val="1"/>
        <c:lblAlgn val="ctr"/>
        <c:lblOffset val="100"/>
        <c:noMultiLvlLbl val="0"/>
      </c:catAx>
      <c:valAx>
        <c:axId val="528507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val>
            <c:numRef>
              <c:f>'SE data'!$L$2:$L$47</c:f>
              <c:numCache>
                <c:formatCode>General</c:formatCode>
                <c:ptCount val="46"/>
                <c:pt idx="18">
                  <c:v>0.609375</c:v>
                </c:pt>
                <c:pt idx="19">
                  <c:v>0.77604166666666696</c:v>
                </c:pt>
                <c:pt idx="20">
                  <c:v>0.96875</c:v>
                </c:pt>
                <c:pt idx="21">
                  <c:v>0.89583333333333304</c:v>
                </c:pt>
                <c:pt idx="22">
                  <c:v>0.72649572649572702</c:v>
                </c:pt>
                <c:pt idx="23">
                  <c:v>0.89863663307646702</c:v>
                </c:pt>
                <c:pt idx="24">
                  <c:v>0.56994818652849699</c:v>
                </c:pt>
                <c:pt idx="28">
                  <c:v>0.67398119122257005</c:v>
                </c:pt>
                <c:pt idx="29">
                  <c:v>0.81005586592178802</c:v>
                </c:pt>
                <c:pt idx="30">
                  <c:v>0.984375</c:v>
                </c:pt>
                <c:pt idx="31">
                  <c:v>0.99479166666666696</c:v>
                </c:pt>
                <c:pt idx="32">
                  <c:v>0.88541666666666696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8-A546-9D62-3008D9925E8B}"/>
            </c:ext>
          </c:extLst>
        </c:ser>
        <c:ser>
          <c:idx val="2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data'!$M$2:$M$47</c:f>
              <c:numCache>
                <c:formatCode>General</c:formatCode>
                <c:ptCount val="46"/>
                <c:pt idx="0">
                  <c:v>1E-3</c:v>
                </c:pt>
                <c:pt idx="1">
                  <c:v>1E-3</c:v>
                </c:pt>
                <c:pt idx="2">
                  <c:v>0.104166666666667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5.2137643378519297E-3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2.0833333333333301E-2</c:v>
                </c:pt>
                <c:pt idx="15">
                  <c:v>0.421875</c:v>
                </c:pt>
                <c:pt idx="16">
                  <c:v>0.15625</c:v>
                </c:pt>
                <c:pt idx="17">
                  <c:v>0.14583333333333301</c:v>
                </c:pt>
                <c:pt idx="25">
                  <c:v>0.26229508196721302</c:v>
                </c:pt>
                <c:pt idx="26">
                  <c:v>0.28645833333333298</c:v>
                </c:pt>
                <c:pt idx="27">
                  <c:v>0.397170837867247</c:v>
                </c:pt>
                <c:pt idx="33">
                  <c:v>0.20220588235294101</c:v>
                </c:pt>
                <c:pt idx="34">
                  <c:v>0.25</c:v>
                </c:pt>
                <c:pt idx="35">
                  <c:v>0.265625</c:v>
                </c:pt>
                <c:pt idx="36">
                  <c:v>0.58333333333333304</c:v>
                </c:pt>
                <c:pt idx="37">
                  <c:v>0.40625</c:v>
                </c:pt>
                <c:pt idx="38">
                  <c:v>0.35170603674540701</c:v>
                </c:pt>
                <c:pt idx="39">
                  <c:v>0.48851774530271402</c:v>
                </c:pt>
                <c:pt idx="40">
                  <c:v>0.140625</c:v>
                </c:pt>
                <c:pt idx="41">
                  <c:v>3.7353255069370303E-2</c:v>
                </c:pt>
                <c:pt idx="42">
                  <c:v>0.40667361835244997</c:v>
                </c:pt>
                <c:pt idx="43">
                  <c:v>3.6458333333333301E-2</c:v>
                </c:pt>
                <c:pt idx="44">
                  <c:v>0.15104166666666699</c:v>
                </c:pt>
                <c:pt idx="45">
                  <c:v>1.6666666666666701E-2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8-A546-9D62-3008D9925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val>
            <c:numRef>
              <c:f>'SE data'!$L$48:$L$93</c:f>
              <c:numCache>
                <c:formatCode>General</c:formatCode>
                <c:ptCount val="46"/>
                <c:pt idx="31">
                  <c:v>0.88020833333333304</c:v>
                </c:pt>
                <c:pt idx="32">
                  <c:v>0.87473002159827196</c:v>
                </c:pt>
                <c:pt idx="33">
                  <c:v>0.99479166666666696</c:v>
                </c:pt>
                <c:pt idx="34">
                  <c:v>1</c:v>
                </c:pt>
                <c:pt idx="35">
                  <c:v>0.859375</c:v>
                </c:pt>
                <c:pt idx="36">
                  <c:v>0.91666666666666696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7-8940-8588-EF0B82380AAC}"/>
            </c:ext>
          </c:extLst>
        </c:ser>
        <c:ser>
          <c:idx val="2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data'!$M$48:$M$93</c:f>
              <c:numCache>
                <c:formatCode>General</c:formatCode>
                <c:ptCount val="46"/>
                <c:pt idx="0">
                  <c:v>5.7273768613974804E-3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1.0416666666666701E-2</c:v>
                </c:pt>
                <c:pt idx="8">
                  <c:v>1E-3</c:v>
                </c:pt>
                <c:pt idx="9">
                  <c:v>1E-3</c:v>
                </c:pt>
                <c:pt idx="10">
                  <c:v>5.2110474205315296E-3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6.7708333333333301E-2</c:v>
                </c:pt>
                <c:pt idx="17">
                  <c:v>4.6875E-2</c:v>
                </c:pt>
                <c:pt idx="18">
                  <c:v>4.1666666666666699E-2</c:v>
                </c:pt>
                <c:pt idx="19">
                  <c:v>0.32291666666666702</c:v>
                </c:pt>
                <c:pt idx="20">
                  <c:v>0.79166666666666696</c:v>
                </c:pt>
                <c:pt idx="21">
                  <c:v>0.52659019812304497</c:v>
                </c:pt>
                <c:pt idx="22">
                  <c:v>0.83368756641870401</c:v>
                </c:pt>
                <c:pt idx="23">
                  <c:v>0.234375</c:v>
                </c:pt>
                <c:pt idx="24">
                  <c:v>3.125E-2</c:v>
                </c:pt>
                <c:pt idx="25">
                  <c:v>0.30208333333333298</c:v>
                </c:pt>
                <c:pt idx="26">
                  <c:v>0.55729166666666696</c:v>
                </c:pt>
                <c:pt idx="27">
                  <c:v>0.72916666666666696</c:v>
                </c:pt>
                <c:pt idx="28">
                  <c:v>0.30729166666666702</c:v>
                </c:pt>
                <c:pt idx="29">
                  <c:v>0.334553058024046</c:v>
                </c:pt>
                <c:pt idx="30">
                  <c:v>0.359375</c:v>
                </c:pt>
                <c:pt idx="37">
                  <c:v>0.75</c:v>
                </c:pt>
                <c:pt idx="38">
                  <c:v>0.88713910761154902</c:v>
                </c:pt>
                <c:pt idx="39">
                  <c:v>0.40419947506561699</c:v>
                </c:pt>
                <c:pt idx="40">
                  <c:v>0.495821727019499</c:v>
                </c:pt>
                <c:pt idx="41">
                  <c:v>0.448756822316555</c:v>
                </c:pt>
                <c:pt idx="42">
                  <c:v>0.71428571428571397</c:v>
                </c:pt>
                <c:pt idx="43">
                  <c:v>0.75718015665796301</c:v>
                </c:pt>
                <c:pt idx="44">
                  <c:v>0.78645833333333304</c:v>
                </c:pt>
                <c:pt idx="45">
                  <c:v>0.55045871559632997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57-8940-8588-EF0B82380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val>
            <c:numRef>
              <c:f>'SE data'!$L$94:$L$139</c:f>
              <c:numCache>
                <c:formatCode>General</c:formatCode>
                <c:ptCount val="46"/>
                <c:pt idx="33">
                  <c:v>0.88020833333333304</c:v>
                </c:pt>
                <c:pt idx="34">
                  <c:v>0.921875</c:v>
                </c:pt>
                <c:pt idx="35">
                  <c:v>0.90813648293963301</c:v>
                </c:pt>
                <c:pt idx="38">
                  <c:v>1</c:v>
                </c:pt>
                <c:pt idx="39">
                  <c:v>0.65625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F-104F-B780-E49041E322D3}"/>
            </c:ext>
          </c:extLst>
        </c:ser>
        <c:ser>
          <c:idx val="2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data'!$M$94:$M$139</c:f>
              <c:numCache>
                <c:formatCode>General</c:formatCode>
                <c:ptCount val="46"/>
                <c:pt idx="0">
                  <c:v>3.6572622779519302E-2</c:v>
                </c:pt>
                <c:pt idx="1">
                  <c:v>0.281396560708702</c:v>
                </c:pt>
                <c:pt idx="2">
                  <c:v>0.14345991561181401</c:v>
                </c:pt>
                <c:pt idx="3">
                  <c:v>0.15104166666666699</c:v>
                </c:pt>
                <c:pt idx="4">
                  <c:v>6.7885117493472605E-2</c:v>
                </c:pt>
                <c:pt idx="5">
                  <c:v>5.2083333333333301E-2</c:v>
                </c:pt>
                <c:pt idx="6">
                  <c:v>5.0890585241730298E-2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5.2083333333333296E-3</c:v>
                </c:pt>
                <c:pt idx="11">
                  <c:v>5.2083333333333296E-3</c:v>
                </c:pt>
                <c:pt idx="12">
                  <c:v>1E-3</c:v>
                </c:pt>
                <c:pt idx="13">
                  <c:v>1E-3</c:v>
                </c:pt>
                <c:pt idx="14">
                  <c:v>5.2383446830801504E-3</c:v>
                </c:pt>
                <c:pt idx="15">
                  <c:v>1E-3</c:v>
                </c:pt>
                <c:pt idx="16">
                  <c:v>1E-3</c:v>
                </c:pt>
                <c:pt idx="17">
                  <c:v>5.2137643378519297E-3</c:v>
                </c:pt>
                <c:pt idx="18">
                  <c:v>6.25E-2</c:v>
                </c:pt>
                <c:pt idx="19">
                  <c:v>1.5625E-2</c:v>
                </c:pt>
                <c:pt idx="20">
                  <c:v>2.6041666666666699E-2</c:v>
                </c:pt>
                <c:pt idx="21">
                  <c:v>0.19791666666666699</c:v>
                </c:pt>
                <c:pt idx="22">
                  <c:v>9.5389507154213002E-2</c:v>
                </c:pt>
                <c:pt idx="23">
                  <c:v>0.152187698161065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6">
                  <c:v>0.46875</c:v>
                </c:pt>
                <c:pt idx="37">
                  <c:v>0.65104166666666696</c:v>
                </c:pt>
                <c:pt idx="40">
                  <c:v>1.0476689366160301E-2</c:v>
                </c:pt>
                <c:pt idx="41">
                  <c:v>1.5625E-2</c:v>
                </c:pt>
                <c:pt idx="42">
                  <c:v>0.1875</c:v>
                </c:pt>
                <c:pt idx="43">
                  <c:v>0.68229166666666696</c:v>
                </c:pt>
                <c:pt idx="44">
                  <c:v>4.6875E-2</c:v>
                </c:pt>
                <c:pt idx="45">
                  <c:v>0.15972222222222199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5F-104F-B780-E49041E32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data'!$L$140:$L$185</c:f>
              <c:numCache>
                <c:formatCode>General</c:formatCode>
                <c:ptCount val="46"/>
                <c:pt idx="26">
                  <c:v>0.79166666666666696</c:v>
                </c:pt>
                <c:pt idx="27">
                  <c:v>0.99468085106382997</c:v>
                </c:pt>
                <c:pt idx="28">
                  <c:v>0.98436685773840504</c:v>
                </c:pt>
                <c:pt idx="29">
                  <c:v>0.89577905158936899</c:v>
                </c:pt>
                <c:pt idx="30">
                  <c:v>0.96354166666666696</c:v>
                </c:pt>
                <c:pt idx="31">
                  <c:v>0.97916666666666696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7-764F-BE5E-DEBEF8423B5D}"/>
            </c:ext>
          </c:extLst>
        </c:ser>
        <c:ser>
          <c:idx val="0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data'!$M$140:$M$185</c:f>
              <c:numCache>
                <c:formatCode>General</c:formatCode>
                <c:ptCount val="46"/>
                <c:pt idx="0">
                  <c:v>3.125E-2</c:v>
                </c:pt>
                <c:pt idx="1">
                  <c:v>1E-3</c:v>
                </c:pt>
                <c:pt idx="2">
                  <c:v>5.2083333333333296E-3</c:v>
                </c:pt>
                <c:pt idx="3">
                  <c:v>1E-3</c:v>
                </c:pt>
                <c:pt idx="4">
                  <c:v>0.25520833333333298</c:v>
                </c:pt>
                <c:pt idx="5">
                  <c:v>1E-3</c:v>
                </c:pt>
                <c:pt idx="6">
                  <c:v>1.0416666666666701E-2</c:v>
                </c:pt>
                <c:pt idx="7">
                  <c:v>1E-3</c:v>
                </c:pt>
                <c:pt idx="8">
                  <c:v>5.2083333333333296E-3</c:v>
                </c:pt>
                <c:pt idx="9">
                  <c:v>0</c:v>
                </c:pt>
                <c:pt idx="10">
                  <c:v>1E-3</c:v>
                </c:pt>
                <c:pt idx="11">
                  <c:v>3.125E-2</c:v>
                </c:pt>
                <c:pt idx="12">
                  <c:v>1E-3</c:v>
                </c:pt>
                <c:pt idx="13">
                  <c:v>0.140625</c:v>
                </c:pt>
                <c:pt idx="14">
                  <c:v>1E-3</c:v>
                </c:pt>
                <c:pt idx="15">
                  <c:v>5.2083333333333296E-3</c:v>
                </c:pt>
                <c:pt idx="16">
                  <c:v>1.0416666666666701E-2</c:v>
                </c:pt>
                <c:pt idx="17">
                  <c:v>5.7291666666666699E-2</c:v>
                </c:pt>
                <c:pt idx="18">
                  <c:v>0.119791666666667</c:v>
                </c:pt>
                <c:pt idx="19">
                  <c:v>0.22395833333333301</c:v>
                </c:pt>
                <c:pt idx="20">
                  <c:v>0.22916666666666699</c:v>
                </c:pt>
                <c:pt idx="21">
                  <c:v>0.84375</c:v>
                </c:pt>
                <c:pt idx="22">
                  <c:v>0.890625</c:v>
                </c:pt>
                <c:pt idx="23">
                  <c:v>0.83854166666666696</c:v>
                </c:pt>
                <c:pt idx="24">
                  <c:v>0.77083333333333304</c:v>
                </c:pt>
                <c:pt idx="25">
                  <c:v>0.640625</c:v>
                </c:pt>
                <c:pt idx="32">
                  <c:v>0.64583333333333304</c:v>
                </c:pt>
                <c:pt idx="33">
                  <c:v>0.734375</c:v>
                </c:pt>
                <c:pt idx="34">
                  <c:v>0.53125</c:v>
                </c:pt>
                <c:pt idx="35">
                  <c:v>0.875</c:v>
                </c:pt>
                <c:pt idx="36">
                  <c:v>0.88541666666666696</c:v>
                </c:pt>
                <c:pt idx="37">
                  <c:v>0.56770833333333304</c:v>
                </c:pt>
                <c:pt idx="38">
                  <c:v>1.5625E-2</c:v>
                </c:pt>
                <c:pt idx="39">
                  <c:v>1E-3</c:v>
                </c:pt>
                <c:pt idx="40">
                  <c:v>1E-3</c:v>
                </c:pt>
                <c:pt idx="41">
                  <c:v>1E-3</c:v>
                </c:pt>
                <c:pt idx="42">
                  <c:v>1E-3</c:v>
                </c:pt>
                <c:pt idx="43">
                  <c:v>1E-3</c:v>
                </c:pt>
                <c:pt idx="44">
                  <c:v>1E-3</c:v>
                </c:pt>
                <c:pt idx="45">
                  <c:v>1.6666666666666701E-2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77-764F-BE5E-DEBEF8423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data'!$L$186:$L$231</c:f>
              <c:numCache>
                <c:formatCode>General</c:formatCode>
                <c:ptCount val="46"/>
                <c:pt idx="32">
                  <c:v>0.70422535211267601</c:v>
                </c:pt>
                <c:pt idx="33">
                  <c:v>0.78125</c:v>
                </c:pt>
                <c:pt idx="34">
                  <c:v>0.98958333333333304</c:v>
                </c:pt>
                <c:pt idx="35">
                  <c:v>0.94639666468135797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2-C144-9069-78A3AD912597}"/>
            </c:ext>
          </c:extLst>
        </c:ser>
        <c:ser>
          <c:idx val="0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data'!$M$186:$M$231</c:f>
              <c:numCache>
                <c:formatCode>General</c:formatCode>
                <c:ptCount val="46"/>
                <c:pt idx="0">
                  <c:v>1E-3</c:v>
                </c:pt>
                <c:pt idx="1">
                  <c:v>1.0416666666666701E-2</c:v>
                </c:pt>
                <c:pt idx="2">
                  <c:v>1E-3</c:v>
                </c:pt>
                <c:pt idx="3">
                  <c:v>1.0416666666666701E-2</c:v>
                </c:pt>
                <c:pt idx="4">
                  <c:v>5.2083333333333296E-3</c:v>
                </c:pt>
                <c:pt idx="5">
                  <c:v>5.2083333333333296E-3</c:v>
                </c:pt>
                <c:pt idx="6">
                  <c:v>1E-3</c:v>
                </c:pt>
                <c:pt idx="7">
                  <c:v>1E-3</c:v>
                </c:pt>
                <c:pt idx="8">
                  <c:v>9.375E-2</c:v>
                </c:pt>
                <c:pt idx="9">
                  <c:v>5.2083333333333296E-3</c:v>
                </c:pt>
                <c:pt idx="10">
                  <c:v>1.0416666666666701E-2</c:v>
                </c:pt>
                <c:pt idx="11">
                  <c:v>5.2083333333333296E-3</c:v>
                </c:pt>
                <c:pt idx="12">
                  <c:v>1E-3</c:v>
                </c:pt>
                <c:pt idx="13">
                  <c:v>1E-3</c:v>
                </c:pt>
                <c:pt idx="14">
                  <c:v>5.2083333333333296E-3</c:v>
                </c:pt>
                <c:pt idx="15">
                  <c:v>1E-3</c:v>
                </c:pt>
                <c:pt idx="16">
                  <c:v>0</c:v>
                </c:pt>
                <c:pt idx="17">
                  <c:v>0.125</c:v>
                </c:pt>
                <c:pt idx="18">
                  <c:v>0.75520833333333304</c:v>
                </c:pt>
                <c:pt idx="19">
                  <c:v>0.58854166666666696</c:v>
                </c:pt>
                <c:pt idx="20">
                  <c:v>0.61458333333333304</c:v>
                </c:pt>
                <c:pt idx="21">
                  <c:v>0.375</c:v>
                </c:pt>
                <c:pt idx="22">
                  <c:v>0.40625</c:v>
                </c:pt>
                <c:pt idx="23">
                  <c:v>0.703125</c:v>
                </c:pt>
                <c:pt idx="24">
                  <c:v>0.20833333333333301</c:v>
                </c:pt>
                <c:pt idx="25">
                  <c:v>0.16145833333333301</c:v>
                </c:pt>
                <c:pt idx="26">
                  <c:v>0.515625</c:v>
                </c:pt>
                <c:pt idx="27">
                  <c:v>0.77083333333333304</c:v>
                </c:pt>
                <c:pt idx="28">
                  <c:v>0.890625</c:v>
                </c:pt>
                <c:pt idx="29">
                  <c:v>0.73369565217391297</c:v>
                </c:pt>
                <c:pt idx="30">
                  <c:v>0.52083333333333304</c:v>
                </c:pt>
                <c:pt idx="31">
                  <c:v>0.48958333333333298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2-C144-9069-78A3AD912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data'!$L$232:$L$277</c:f>
              <c:numCache>
                <c:formatCode>General</c:formatCode>
                <c:ptCount val="46"/>
                <c:pt idx="36">
                  <c:v>0.59151009046624903</c:v>
                </c:pt>
                <c:pt idx="37">
                  <c:v>0.900836320191159</c:v>
                </c:pt>
                <c:pt idx="38">
                  <c:v>0.97386304234187104</c:v>
                </c:pt>
                <c:pt idx="39">
                  <c:v>0.45336112558624297</c:v>
                </c:pt>
                <c:pt idx="40">
                  <c:v>0.32291666666666702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7-B444-9363-611B70C94C17}"/>
            </c:ext>
          </c:extLst>
        </c:ser>
        <c:ser>
          <c:idx val="0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data'!$M$232:$M$277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41">
                  <c:v>2.13219616204691E-2</c:v>
                </c:pt>
                <c:pt idx="42">
                  <c:v>6.9721115537848599E-2</c:v>
                </c:pt>
                <c:pt idx="43">
                  <c:v>1.04493207941484E-2</c:v>
                </c:pt>
                <c:pt idx="44">
                  <c:v>1.5633142261594599E-2</c:v>
                </c:pt>
                <c:pt idx="45">
                  <c:v>3.3388981636060099E-2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07-B444-9363-611B70C94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data'!$M$278:$M$323</c:f>
              <c:numCache>
                <c:formatCode>General</c:formatCode>
                <c:ptCount val="46"/>
                <c:pt idx="0">
                  <c:v>9.375E-2</c:v>
                </c:pt>
                <c:pt idx="1">
                  <c:v>1E-3</c:v>
                </c:pt>
                <c:pt idx="2">
                  <c:v>1E-3</c:v>
                </c:pt>
                <c:pt idx="3">
                  <c:v>1.5633142261594599E-2</c:v>
                </c:pt>
                <c:pt idx="4">
                  <c:v>8.0085424452749604E-2</c:v>
                </c:pt>
                <c:pt idx="5">
                  <c:v>5.2083333333333296E-3</c:v>
                </c:pt>
                <c:pt idx="6">
                  <c:v>0.38541666666666702</c:v>
                </c:pt>
                <c:pt idx="7">
                  <c:v>4.6875E-2</c:v>
                </c:pt>
                <c:pt idx="8">
                  <c:v>5.2083333333333296E-3</c:v>
                </c:pt>
                <c:pt idx="9">
                  <c:v>1E-3</c:v>
                </c:pt>
                <c:pt idx="10">
                  <c:v>1E-3</c:v>
                </c:pt>
                <c:pt idx="11">
                  <c:v>1.5625E-2</c:v>
                </c:pt>
                <c:pt idx="12">
                  <c:v>5.2083333333333296E-3</c:v>
                </c:pt>
                <c:pt idx="13">
                  <c:v>2.0844189682126101E-2</c:v>
                </c:pt>
                <c:pt idx="14">
                  <c:v>4.1666666666666699E-2</c:v>
                </c:pt>
                <c:pt idx="15">
                  <c:v>0.28125</c:v>
                </c:pt>
                <c:pt idx="16">
                  <c:v>7.8125E-2</c:v>
                </c:pt>
                <c:pt idx="17">
                  <c:v>1.0416666666666701E-2</c:v>
                </c:pt>
                <c:pt idx="18">
                  <c:v>0.104166666666667</c:v>
                </c:pt>
                <c:pt idx="19">
                  <c:v>0.56770833333333304</c:v>
                </c:pt>
                <c:pt idx="20">
                  <c:v>0.28645833333333298</c:v>
                </c:pt>
                <c:pt idx="21">
                  <c:v>5.2083333333333301E-2</c:v>
                </c:pt>
                <c:pt idx="22">
                  <c:v>0.18463371054198899</c:v>
                </c:pt>
                <c:pt idx="23">
                  <c:v>0.34895833333333298</c:v>
                </c:pt>
                <c:pt idx="24">
                  <c:v>0.234375</c:v>
                </c:pt>
                <c:pt idx="25">
                  <c:v>0.111188325225851</c:v>
                </c:pt>
                <c:pt idx="26">
                  <c:v>0.59895833333333304</c:v>
                </c:pt>
                <c:pt idx="27">
                  <c:v>0.75</c:v>
                </c:pt>
                <c:pt idx="28">
                  <c:v>0.38541666666666702</c:v>
                </c:pt>
                <c:pt idx="29">
                  <c:v>0.34375</c:v>
                </c:pt>
                <c:pt idx="30">
                  <c:v>0.11166253101737</c:v>
                </c:pt>
                <c:pt idx="31">
                  <c:v>0.15112037519541399</c:v>
                </c:pt>
                <c:pt idx="32">
                  <c:v>0.46354166666666702</c:v>
                </c:pt>
                <c:pt idx="33">
                  <c:v>0.33333333333333298</c:v>
                </c:pt>
                <c:pt idx="34">
                  <c:v>0.265625</c:v>
                </c:pt>
                <c:pt idx="35">
                  <c:v>1.0416666666666701E-2</c:v>
                </c:pt>
                <c:pt idx="36">
                  <c:v>2.6041666666666699E-2</c:v>
                </c:pt>
                <c:pt idx="37">
                  <c:v>8.9285714285714302E-2</c:v>
                </c:pt>
                <c:pt idx="38">
                  <c:v>1.5625E-2</c:v>
                </c:pt>
                <c:pt idx="39">
                  <c:v>5.2083333333333296E-3</c:v>
                </c:pt>
                <c:pt idx="40">
                  <c:v>1E-3</c:v>
                </c:pt>
                <c:pt idx="41">
                  <c:v>1E-3</c:v>
                </c:pt>
                <c:pt idx="42">
                  <c:v>1E-3</c:v>
                </c:pt>
                <c:pt idx="43">
                  <c:v>1E-3</c:v>
                </c:pt>
                <c:pt idx="44">
                  <c:v>5.2083333333333296E-3</c:v>
                </c:pt>
                <c:pt idx="45">
                  <c:v>2.7777777777777801E-2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7-CF44-A8F3-33944948D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data'!$L$324:$L$369</c:f>
              <c:numCache>
                <c:formatCode>General</c:formatCode>
                <c:ptCount val="46"/>
                <c:pt idx="25">
                  <c:v>0.78125</c:v>
                </c:pt>
                <c:pt idx="26">
                  <c:v>0.91666666666666696</c:v>
                </c:pt>
                <c:pt idx="29">
                  <c:v>0.96875</c:v>
                </c:pt>
                <c:pt idx="30">
                  <c:v>0.98958333333333304</c:v>
                </c:pt>
                <c:pt idx="31">
                  <c:v>0.94270833333333304</c:v>
                </c:pt>
                <c:pt idx="32">
                  <c:v>0.97916666666666696</c:v>
                </c:pt>
                <c:pt idx="33">
                  <c:v>1</c:v>
                </c:pt>
                <c:pt idx="34">
                  <c:v>1</c:v>
                </c:pt>
                <c:pt idx="35">
                  <c:v>0.88541666666666696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4-5345-B4AA-376D8D2B67CB}"/>
            </c:ext>
          </c:extLst>
        </c:ser>
        <c:ser>
          <c:idx val="0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data'!$M$324:$M$369</c:f>
              <c:numCache>
                <c:formatCode>General</c:formatCode>
                <c:ptCount val="46"/>
                <c:pt idx="0">
                  <c:v>1E-3</c:v>
                </c:pt>
                <c:pt idx="1">
                  <c:v>1E-3</c:v>
                </c:pt>
                <c:pt idx="2">
                  <c:v>5.2083333333333296E-3</c:v>
                </c:pt>
                <c:pt idx="3">
                  <c:v>5.2083333333333296E-3</c:v>
                </c:pt>
                <c:pt idx="4">
                  <c:v>1E-3</c:v>
                </c:pt>
                <c:pt idx="5">
                  <c:v>1E-3</c:v>
                </c:pt>
                <c:pt idx="6">
                  <c:v>5.2083333333333301E-2</c:v>
                </c:pt>
                <c:pt idx="7">
                  <c:v>1E-3</c:v>
                </c:pt>
                <c:pt idx="8">
                  <c:v>5.2083333333333296E-3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2.6041666666666699E-2</c:v>
                </c:pt>
                <c:pt idx="17">
                  <c:v>5.2083333333333296E-3</c:v>
                </c:pt>
                <c:pt idx="18">
                  <c:v>0.15104166666666699</c:v>
                </c:pt>
                <c:pt idx="19">
                  <c:v>0.76041666666666696</c:v>
                </c:pt>
                <c:pt idx="20">
                  <c:v>0.25</c:v>
                </c:pt>
                <c:pt idx="21">
                  <c:v>0.52604166666666696</c:v>
                </c:pt>
                <c:pt idx="22">
                  <c:v>0.69791666666666696</c:v>
                </c:pt>
                <c:pt idx="23">
                  <c:v>0.104166666666667</c:v>
                </c:pt>
                <c:pt idx="24">
                  <c:v>0.109375</c:v>
                </c:pt>
                <c:pt idx="27">
                  <c:v>0.6875</c:v>
                </c:pt>
                <c:pt idx="28">
                  <c:v>0.77604166666666696</c:v>
                </c:pt>
                <c:pt idx="36">
                  <c:v>5.2083333333333301E-2</c:v>
                </c:pt>
                <c:pt idx="37">
                  <c:v>0.24404761904761901</c:v>
                </c:pt>
                <c:pt idx="38">
                  <c:v>4.1666666666666699E-2</c:v>
                </c:pt>
                <c:pt idx="39">
                  <c:v>0.16666666666666699</c:v>
                </c:pt>
                <c:pt idx="40">
                  <c:v>6.25E-2</c:v>
                </c:pt>
                <c:pt idx="41">
                  <c:v>1.5625E-2</c:v>
                </c:pt>
                <c:pt idx="42">
                  <c:v>1E-3</c:v>
                </c:pt>
                <c:pt idx="43">
                  <c:v>1.0416666666666701E-2</c:v>
                </c:pt>
                <c:pt idx="44">
                  <c:v>1E-3</c:v>
                </c:pt>
                <c:pt idx="4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94-5345-B4AA-376D8D2B6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data'!$L$370:$L$415</c:f>
              <c:numCache>
                <c:formatCode>General</c:formatCode>
                <c:ptCount val="46"/>
                <c:pt idx="30">
                  <c:v>0.91145833333333304</c:v>
                </c:pt>
                <c:pt idx="31">
                  <c:v>0.94791666666666696</c:v>
                </c:pt>
                <c:pt idx="32">
                  <c:v>0.81770833333333304</c:v>
                </c:pt>
                <c:pt idx="33">
                  <c:v>0.99479166666666696</c:v>
                </c:pt>
                <c:pt idx="34">
                  <c:v>0.97395833333333304</c:v>
                </c:pt>
                <c:pt idx="35">
                  <c:v>1</c:v>
                </c:pt>
                <c:pt idx="36">
                  <c:v>0.953125</c:v>
                </c:pt>
                <c:pt idx="37">
                  <c:v>0.94270833333333304</c:v>
                </c:pt>
                <c:pt idx="38">
                  <c:v>0.29166666666666702</c:v>
                </c:pt>
                <c:pt idx="39">
                  <c:v>0.14583333333333301</c:v>
                </c:pt>
                <c:pt idx="40">
                  <c:v>8.8541666666666699E-2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2-A047-90EE-5D70ECB7B377}"/>
            </c:ext>
          </c:extLst>
        </c:ser>
        <c:ser>
          <c:idx val="0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data'!$M$370:$M$415</c:f>
              <c:numCache>
                <c:formatCode>General</c:formatCode>
                <c:ptCount val="46"/>
                <c:pt idx="0">
                  <c:v>5.2110474205315296E-3</c:v>
                </c:pt>
                <c:pt idx="1">
                  <c:v>1.0416666666666701E-2</c:v>
                </c:pt>
                <c:pt idx="2">
                  <c:v>2.963841138115E-2</c:v>
                </c:pt>
                <c:pt idx="3">
                  <c:v>1.5625E-2</c:v>
                </c:pt>
                <c:pt idx="4">
                  <c:v>1E-3</c:v>
                </c:pt>
                <c:pt idx="5">
                  <c:v>4.1666666666666699E-2</c:v>
                </c:pt>
                <c:pt idx="6">
                  <c:v>2.6041666666666699E-2</c:v>
                </c:pt>
                <c:pt idx="7">
                  <c:v>1.0416666666666701E-2</c:v>
                </c:pt>
                <c:pt idx="8">
                  <c:v>1.0416666666666701E-2</c:v>
                </c:pt>
                <c:pt idx="9">
                  <c:v>5.2192066805845502E-3</c:v>
                </c:pt>
                <c:pt idx="10">
                  <c:v>5.3533190578158498E-3</c:v>
                </c:pt>
                <c:pt idx="11">
                  <c:v>5.2083333333333296E-3</c:v>
                </c:pt>
                <c:pt idx="12">
                  <c:v>5.2083333333333296E-3</c:v>
                </c:pt>
                <c:pt idx="13">
                  <c:v>1E-3</c:v>
                </c:pt>
                <c:pt idx="14">
                  <c:v>1E-3</c:v>
                </c:pt>
                <c:pt idx="15">
                  <c:v>0</c:v>
                </c:pt>
                <c:pt idx="16">
                  <c:v>0.54011119936457497</c:v>
                </c:pt>
                <c:pt idx="17">
                  <c:v>0.40021063717746203</c:v>
                </c:pt>
                <c:pt idx="18">
                  <c:v>9.375E-2</c:v>
                </c:pt>
                <c:pt idx="19">
                  <c:v>5.2083333333333296E-3</c:v>
                </c:pt>
                <c:pt idx="20">
                  <c:v>0.52604166666666696</c:v>
                </c:pt>
                <c:pt idx="21">
                  <c:v>0.38541666666666702</c:v>
                </c:pt>
                <c:pt idx="22">
                  <c:v>5.2083333333333296E-3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5.2083333333333296E-3</c:v>
                </c:pt>
                <c:pt idx="27">
                  <c:v>8.3333333333333301E-2</c:v>
                </c:pt>
                <c:pt idx="28">
                  <c:v>2.0833333333333301E-2</c:v>
                </c:pt>
                <c:pt idx="29">
                  <c:v>4.6875E-2</c:v>
                </c:pt>
                <c:pt idx="41">
                  <c:v>1E-3</c:v>
                </c:pt>
                <c:pt idx="42">
                  <c:v>3.6458333333333301E-2</c:v>
                </c:pt>
                <c:pt idx="43">
                  <c:v>2.0833333333333301E-2</c:v>
                </c:pt>
                <c:pt idx="44">
                  <c:v>2.0833333333333301E-2</c:v>
                </c:pt>
                <c:pt idx="4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2-A047-90EE-5D70ECB7B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data'!$L$416:$L$461</c:f>
              <c:numCache>
                <c:formatCode>General</c:formatCode>
                <c:ptCount val="46"/>
                <c:pt idx="22">
                  <c:v>0.875</c:v>
                </c:pt>
                <c:pt idx="23">
                  <c:v>0.96354166666666696</c:v>
                </c:pt>
                <c:pt idx="24">
                  <c:v>0.80729166666666696</c:v>
                </c:pt>
                <c:pt idx="25">
                  <c:v>0.96875</c:v>
                </c:pt>
                <c:pt idx="26">
                  <c:v>0.80729166666666696</c:v>
                </c:pt>
                <c:pt idx="27">
                  <c:v>0.80729166666666696</c:v>
                </c:pt>
                <c:pt idx="28">
                  <c:v>1</c:v>
                </c:pt>
                <c:pt idx="29">
                  <c:v>1</c:v>
                </c:pt>
                <c:pt idx="30">
                  <c:v>0.91145833333333304</c:v>
                </c:pt>
                <c:pt idx="31">
                  <c:v>0.69791666666666696</c:v>
                </c:pt>
                <c:pt idx="32">
                  <c:v>0.51041666666666696</c:v>
                </c:pt>
                <c:pt idx="34">
                  <c:v>0.74479166666666696</c:v>
                </c:pt>
                <c:pt idx="35">
                  <c:v>0.75520833333333304</c:v>
                </c:pt>
                <c:pt idx="36">
                  <c:v>0.546875</c:v>
                </c:pt>
                <c:pt idx="37">
                  <c:v>0.97916666666666696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2-CE42-9D23-01570FDE26DE}"/>
            </c:ext>
          </c:extLst>
        </c:ser>
        <c:ser>
          <c:idx val="0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data'!$M$416:$M$461</c:f>
              <c:numCache>
                <c:formatCode>General</c:formatCode>
                <c:ptCount val="46"/>
                <c:pt idx="0">
                  <c:v>1.0416666666666701E-2</c:v>
                </c:pt>
                <c:pt idx="1">
                  <c:v>1E-3</c:v>
                </c:pt>
                <c:pt idx="2">
                  <c:v>1E-3</c:v>
                </c:pt>
                <c:pt idx="3">
                  <c:v>3.125E-2</c:v>
                </c:pt>
                <c:pt idx="4">
                  <c:v>5.2083333333333296E-3</c:v>
                </c:pt>
                <c:pt idx="5">
                  <c:v>1E-3</c:v>
                </c:pt>
                <c:pt idx="6">
                  <c:v>1.0422094841063099E-2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6.7708333333333301E-2</c:v>
                </c:pt>
                <c:pt idx="13">
                  <c:v>8.0971659919028306E-3</c:v>
                </c:pt>
                <c:pt idx="14">
                  <c:v>5.2083333333333296E-3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1.0416666666666701E-2</c:v>
                </c:pt>
                <c:pt idx="20">
                  <c:v>2.6041666666666699E-2</c:v>
                </c:pt>
                <c:pt idx="21">
                  <c:v>0.20833333333333301</c:v>
                </c:pt>
                <c:pt idx="33">
                  <c:v>0.34375</c:v>
                </c:pt>
                <c:pt idx="38">
                  <c:v>0.44791666666666702</c:v>
                </c:pt>
                <c:pt idx="39">
                  <c:v>0.59895833333333304</c:v>
                </c:pt>
                <c:pt idx="40">
                  <c:v>0.23958333333333301</c:v>
                </c:pt>
                <c:pt idx="41">
                  <c:v>0.25520833333333298</c:v>
                </c:pt>
                <c:pt idx="42">
                  <c:v>3.125E-2</c:v>
                </c:pt>
                <c:pt idx="43">
                  <c:v>5.2083333333333296E-3</c:v>
                </c:pt>
                <c:pt idx="44">
                  <c:v>1E-3</c:v>
                </c:pt>
                <c:pt idx="4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2-CE42-9D23-01570FDE2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data'!$L$462:$L$507</c:f>
              <c:numCache>
                <c:formatCode>General</c:formatCode>
                <c:ptCount val="46"/>
                <c:pt idx="24">
                  <c:v>0.33854166666666702</c:v>
                </c:pt>
                <c:pt idx="25">
                  <c:v>0.671875</c:v>
                </c:pt>
                <c:pt idx="26">
                  <c:v>0.765625</c:v>
                </c:pt>
                <c:pt idx="27">
                  <c:v>0.90625</c:v>
                </c:pt>
                <c:pt idx="28">
                  <c:v>1</c:v>
                </c:pt>
                <c:pt idx="29">
                  <c:v>1</c:v>
                </c:pt>
                <c:pt idx="30">
                  <c:v>0.921875</c:v>
                </c:pt>
                <c:pt idx="31">
                  <c:v>0.97916666666666696</c:v>
                </c:pt>
                <c:pt idx="32">
                  <c:v>1</c:v>
                </c:pt>
                <c:pt idx="33">
                  <c:v>0.984375</c:v>
                </c:pt>
                <c:pt idx="34">
                  <c:v>0.69791666666666696</c:v>
                </c:pt>
                <c:pt idx="35">
                  <c:v>0.46354166666666702</c:v>
                </c:pt>
                <c:pt idx="36">
                  <c:v>0.94791666666666696</c:v>
                </c:pt>
                <c:pt idx="40">
                  <c:v>0.72395833333333304</c:v>
                </c:pt>
                <c:pt idx="41">
                  <c:v>0.19791666666666699</c:v>
                </c:pt>
                <c:pt idx="42">
                  <c:v>0.99479166666666696</c:v>
                </c:pt>
                <c:pt idx="43">
                  <c:v>0.60416666666666696</c:v>
                </c:pt>
                <c:pt idx="44">
                  <c:v>0.56770833333333304</c:v>
                </c:pt>
                <c:pt idx="45">
                  <c:v>0.30555555555555602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9-2144-8771-AB8160DDE471}"/>
            </c:ext>
          </c:extLst>
        </c:ser>
        <c:ser>
          <c:idx val="0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data'!$M$462:$M$507</c:f>
              <c:numCache>
                <c:formatCode>General</c:formatCode>
                <c:ptCount val="46"/>
                <c:pt idx="0">
                  <c:v>1E-3</c:v>
                </c:pt>
                <c:pt idx="1">
                  <c:v>5.2083333333333296E-3</c:v>
                </c:pt>
                <c:pt idx="2">
                  <c:v>5.2110474205315296E-3</c:v>
                </c:pt>
                <c:pt idx="3">
                  <c:v>1.0416666666666701E-2</c:v>
                </c:pt>
                <c:pt idx="4">
                  <c:v>2.0833333333333301E-2</c:v>
                </c:pt>
                <c:pt idx="5">
                  <c:v>1.0416666666666701E-2</c:v>
                </c:pt>
                <c:pt idx="6">
                  <c:v>5.2083333333333296E-3</c:v>
                </c:pt>
                <c:pt idx="7">
                  <c:v>1E-3</c:v>
                </c:pt>
                <c:pt idx="8">
                  <c:v>1E-3</c:v>
                </c:pt>
                <c:pt idx="9">
                  <c:v>5.2083333333333296E-3</c:v>
                </c:pt>
                <c:pt idx="10">
                  <c:v>1E-3</c:v>
                </c:pt>
                <c:pt idx="11">
                  <c:v>1E-3</c:v>
                </c:pt>
                <c:pt idx="12">
                  <c:v>5.2083333333333296E-3</c:v>
                </c:pt>
                <c:pt idx="13">
                  <c:v>1E-3</c:v>
                </c:pt>
                <c:pt idx="14">
                  <c:v>1E-3</c:v>
                </c:pt>
                <c:pt idx="15">
                  <c:v>0.171875</c:v>
                </c:pt>
                <c:pt idx="16">
                  <c:v>3.125E-2</c:v>
                </c:pt>
                <c:pt idx="17">
                  <c:v>0.18229166666666699</c:v>
                </c:pt>
                <c:pt idx="18">
                  <c:v>0.36458333333333298</c:v>
                </c:pt>
                <c:pt idx="19">
                  <c:v>0.78645833333333304</c:v>
                </c:pt>
                <c:pt idx="20">
                  <c:v>0.28645833333333298</c:v>
                </c:pt>
                <c:pt idx="21">
                  <c:v>0.49479166666666702</c:v>
                </c:pt>
                <c:pt idx="22">
                  <c:v>0.22916666666666699</c:v>
                </c:pt>
                <c:pt idx="23">
                  <c:v>1.5625E-2</c:v>
                </c:pt>
                <c:pt idx="37">
                  <c:v>0.30729166666666702</c:v>
                </c:pt>
                <c:pt idx="38">
                  <c:v>0.36979166666666702</c:v>
                </c:pt>
                <c:pt idx="39">
                  <c:v>0.38020833333333298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39-2144-8771-AB8160DDE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data'!$L$508:$L$553</c:f>
              <c:numCache>
                <c:formatCode>General</c:formatCode>
                <c:ptCount val="46"/>
                <c:pt idx="18">
                  <c:v>0.88020833333333304</c:v>
                </c:pt>
                <c:pt idx="19">
                  <c:v>0.75</c:v>
                </c:pt>
                <c:pt idx="20">
                  <c:v>0.97395833333333304</c:v>
                </c:pt>
                <c:pt idx="21">
                  <c:v>0.99479166666666696</c:v>
                </c:pt>
                <c:pt idx="22">
                  <c:v>0.96354166666666696</c:v>
                </c:pt>
                <c:pt idx="23">
                  <c:v>0.88541666666666696</c:v>
                </c:pt>
                <c:pt idx="24">
                  <c:v>0.95833333333333304</c:v>
                </c:pt>
                <c:pt idx="30">
                  <c:v>0.49479166666666702</c:v>
                </c:pt>
                <c:pt idx="31">
                  <c:v>0.91666666666666696</c:v>
                </c:pt>
                <c:pt idx="32">
                  <c:v>0.99479166666666696</c:v>
                </c:pt>
                <c:pt idx="33">
                  <c:v>0.984375</c:v>
                </c:pt>
                <c:pt idx="34">
                  <c:v>0.953125</c:v>
                </c:pt>
                <c:pt idx="35">
                  <c:v>0.99479166666666696</c:v>
                </c:pt>
                <c:pt idx="36">
                  <c:v>0.83854166666666696</c:v>
                </c:pt>
                <c:pt idx="37">
                  <c:v>0.44270833333333298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F-B248-820F-CBF8B97154BE}"/>
            </c:ext>
          </c:extLst>
        </c:ser>
        <c:ser>
          <c:idx val="0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data'!$M$508:$M$553</c:f>
              <c:numCache>
                <c:formatCode>General</c:formatCode>
                <c:ptCount val="46"/>
                <c:pt idx="0">
                  <c:v>2.0833333333333301E-2</c:v>
                </c:pt>
                <c:pt idx="1">
                  <c:v>4.6875E-2</c:v>
                </c:pt>
                <c:pt idx="2">
                  <c:v>0.125</c:v>
                </c:pt>
                <c:pt idx="3">
                  <c:v>6.7708333333333301E-2</c:v>
                </c:pt>
                <c:pt idx="4">
                  <c:v>8.3333333333333301E-2</c:v>
                </c:pt>
                <c:pt idx="5">
                  <c:v>0.140625</c:v>
                </c:pt>
                <c:pt idx="6">
                  <c:v>0.20833333333333301</c:v>
                </c:pt>
                <c:pt idx="7">
                  <c:v>1E-3</c:v>
                </c:pt>
                <c:pt idx="8">
                  <c:v>2.6041666666666699E-2</c:v>
                </c:pt>
                <c:pt idx="9">
                  <c:v>0.1875</c:v>
                </c:pt>
                <c:pt idx="10">
                  <c:v>0.75</c:v>
                </c:pt>
                <c:pt idx="11">
                  <c:v>0.75520833333333304</c:v>
                </c:pt>
                <c:pt idx="12">
                  <c:v>0.55208333333333304</c:v>
                </c:pt>
                <c:pt idx="13">
                  <c:v>0.36979166666666702</c:v>
                </c:pt>
                <c:pt idx="14">
                  <c:v>0.30729166666666702</c:v>
                </c:pt>
                <c:pt idx="15">
                  <c:v>0.34895833333333298</c:v>
                </c:pt>
                <c:pt idx="16">
                  <c:v>0.30729166666666702</c:v>
                </c:pt>
                <c:pt idx="17">
                  <c:v>0.375</c:v>
                </c:pt>
                <c:pt idx="25">
                  <c:v>0.80729166666666696</c:v>
                </c:pt>
                <c:pt idx="26">
                  <c:v>0.69791666666666696</c:v>
                </c:pt>
                <c:pt idx="27">
                  <c:v>0.65104166666666696</c:v>
                </c:pt>
                <c:pt idx="28">
                  <c:v>0.81770833333333304</c:v>
                </c:pt>
                <c:pt idx="29">
                  <c:v>0.19270833333333301</c:v>
                </c:pt>
                <c:pt idx="38">
                  <c:v>0.21354166666666699</c:v>
                </c:pt>
                <c:pt idx="39">
                  <c:v>0.265625</c:v>
                </c:pt>
                <c:pt idx="40">
                  <c:v>4.6875E-2</c:v>
                </c:pt>
                <c:pt idx="41">
                  <c:v>0.22916666666666699</c:v>
                </c:pt>
                <c:pt idx="42">
                  <c:v>0.13020833333333301</c:v>
                </c:pt>
                <c:pt idx="43">
                  <c:v>1.5625E-2</c:v>
                </c:pt>
                <c:pt idx="44">
                  <c:v>3.125E-2</c:v>
                </c:pt>
                <c:pt idx="45">
                  <c:v>8.3333333333333297E-3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AF-B248-820F-CBF8B9715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data'!$L$554:$L$599</c:f>
              <c:numCache>
                <c:formatCode>General</c:formatCode>
                <c:ptCount val="46"/>
                <c:pt idx="26">
                  <c:v>0.71354166666666696</c:v>
                </c:pt>
                <c:pt idx="27">
                  <c:v>0.94791666666666696</c:v>
                </c:pt>
                <c:pt idx="28">
                  <c:v>0.99479166666666696</c:v>
                </c:pt>
                <c:pt idx="29">
                  <c:v>1</c:v>
                </c:pt>
                <c:pt idx="30">
                  <c:v>0.98958333333333304</c:v>
                </c:pt>
                <c:pt idx="32">
                  <c:v>0.640625</c:v>
                </c:pt>
                <c:pt idx="33">
                  <c:v>0.80729166666666696</c:v>
                </c:pt>
                <c:pt idx="34">
                  <c:v>0.92708333333333304</c:v>
                </c:pt>
                <c:pt idx="35">
                  <c:v>0.90625</c:v>
                </c:pt>
                <c:pt idx="36">
                  <c:v>0.921875</c:v>
                </c:pt>
                <c:pt idx="37">
                  <c:v>0.828125</c:v>
                </c:pt>
                <c:pt idx="38">
                  <c:v>0.97395833333333304</c:v>
                </c:pt>
                <c:pt idx="39">
                  <c:v>0.984375</c:v>
                </c:pt>
                <c:pt idx="40">
                  <c:v>0.97916666666666696</c:v>
                </c:pt>
                <c:pt idx="41">
                  <c:v>0.83333333333333304</c:v>
                </c:pt>
                <c:pt idx="42">
                  <c:v>0.72395833333333304</c:v>
                </c:pt>
                <c:pt idx="43">
                  <c:v>0.49066666666666697</c:v>
                </c:pt>
                <c:pt idx="44">
                  <c:v>0.35416666666666702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7-5B4F-B2FD-282CF00AF735}"/>
            </c:ext>
          </c:extLst>
        </c:ser>
        <c:ser>
          <c:idx val="0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data'!$M$554:$M$599</c:f>
              <c:numCache>
                <c:formatCode>General</c:formatCode>
                <c:ptCount val="46"/>
                <c:pt idx="0">
                  <c:v>3.6458333333333301E-2</c:v>
                </c:pt>
                <c:pt idx="1">
                  <c:v>0.109375</c:v>
                </c:pt>
                <c:pt idx="2">
                  <c:v>5.7291666666666699E-2</c:v>
                </c:pt>
                <c:pt idx="3">
                  <c:v>1.5625E-2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0.17782426778242699</c:v>
                </c:pt>
                <c:pt idx="8">
                  <c:v>0.125260960334029</c:v>
                </c:pt>
                <c:pt idx="9">
                  <c:v>0.3125</c:v>
                </c:pt>
                <c:pt idx="10">
                  <c:v>0.19791666666666699</c:v>
                </c:pt>
                <c:pt idx="11">
                  <c:v>5.2083333333333296E-3</c:v>
                </c:pt>
                <c:pt idx="12">
                  <c:v>2.0833333333333301E-2</c:v>
                </c:pt>
                <c:pt idx="13">
                  <c:v>1.0416666666666701E-2</c:v>
                </c:pt>
                <c:pt idx="14">
                  <c:v>5.2083333333333296E-3</c:v>
                </c:pt>
                <c:pt idx="15">
                  <c:v>0.104166666666667</c:v>
                </c:pt>
                <c:pt idx="16">
                  <c:v>2.6041666666666699E-2</c:v>
                </c:pt>
                <c:pt idx="17">
                  <c:v>1E-3</c:v>
                </c:pt>
                <c:pt idx="18">
                  <c:v>1E-3</c:v>
                </c:pt>
                <c:pt idx="19">
                  <c:v>5.2219321148825101E-3</c:v>
                </c:pt>
                <c:pt idx="20">
                  <c:v>0.83744100681698996</c:v>
                </c:pt>
                <c:pt idx="21">
                  <c:v>0.45430809399477801</c:v>
                </c:pt>
                <c:pt idx="22">
                  <c:v>6.7814293166405804E-2</c:v>
                </c:pt>
                <c:pt idx="23">
                  <c:v>3.125E-2</c:v>
                </c:pt>
                <c:pt idx="24">
                  <c:v>0.125</c:v>
                </c:pt>
                <c:pt idx="25">
                  <c:v>0.109375</c:v>
                </c:pt>
                <c:pt idx="31">
                  <c:v>0.34946236559139798</c:v>
                </c:pt>
                <c:pt idx="4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17-5B4F-B2FD-282CF00AF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data'!$L$600:$L$645</c:f>
              <c:numCache>
                <c:formatCode>General</c:formatCode>
                <c:ptCount val="46"/>
                <c:pt idx="18">
                  <c:v>0.82291666666666696</c:v>
                </c:pt>
                <c:pt idx="19">
                  <c:v>0.65625</c:v>
                </c:pt>
                <c:pt idx="20">
                  <c:v>0.94791666666666696</c:v>
                </c:pt>
                <c:pt idx="21">
                  <c:v>0.94270833333333304</c:v>
                </c:pt>
                <c:pt idx="22">
                  <c:v>1</c:v>
                </c:pt>
                <c:pt idx="23">
                  <c:v>0.94270833333333304</c:v>
                </c:pt>
                <c:pt idx="26">
                  <c:v>0.984375</c:v>
                </c:pt>
                <c:pt idx="27">
                  <c:v>1</c:v>
                </c:pt>
                <c:pt idx="28">
                  <c:v>0.875</c:v>
                </c:pt>
                <c:pt idx="29">
                  <c:v>0.9375</c:v>
                </c:pt>
                <c:pt idx="30">
                  <c:v>0.91596638655462204</c:v>
                </c:pt>
                <c:pt idx="31">
                  <c:v>0.90104166666666696</c:v>
                </c:pt>
                <c:pt idx="32">
                  <c:v>0.328125</c:v>
                </c:pt>
                <c:pt idx="34">
                  <c:v>0.26041666666666702</c:v>
                </c:pt>
                <c:pt idx="35">
                  <c:v>0.578125</c:v>
                </c:pt>
                <c:pt idx="36">
                  <c:v>0.90104166666666696</c:v>
                </c:pt>
                <c:pt idx="37">
                  <c:v>1</c:v>
                </c:pt>
                <c:pt idx="38">
                  <c:v>1</c:v>
                </c:pt>
                <c:pt idx="39">
                  <c:v>0.97307485191168597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6-2847-9161-95AE43DD2973}"/>
            </c:ext>
          </c:extLst>
        </c:ser>
        <c:ser>
          <c:idx val="0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data'!$M$600:$M$645</c:f>
              <c:numCache>
                <c:formatCode>General</c:formatCode>
                <c:ptCount val="46"/>
                <c:pt idx="0">
                  <c:v>0.11413043478260899</c:v>
                </c:pt>
                <c:pt idx="1">
                  <c:v>4.6875E-2</c:v>
                </c:pt>
                <c:pt idx="2">
                  <c:v>5.2083333333333296E-3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4.1666666666666699E-2</c:v>
                </c:pt>
                <c:pt idx="9">
                  <c:v>4.6875E-2</c:v>
                </c:pt>
                <c:pt idx="10">
                  <c:v>2.0833333333333301E-2</c:v>
                </c:pt>
                <c:pt idx="11">
                  <c:v>0.45833333333333298</c:v>
                </c:pt>
                <c:pt idx="12">
                  <c:v>0.140625</c:v>
                </c:pt>
                <c:pt idx="13">
                  <c:v>5.2083333333333296E-3</c:v>
                </c:pt>
                <c:pt idx="14">
                  <c:v>9.8958333333333301E-2</c:v>
                </c:pt>
                <c:pt idx="15">
                  <c:v>0.63641105894627004</c:v>
                </c:pt>
                <c:pt idx="16">
                  <c:v>0.73958333333333304</c:v>
                </c:pt>
                <c:pt idx="17">
                  <c:v>0.453125</c:v>
                </c:pt>
                <c:pt idx="24">
                  <c:v>0.5</c:v>
                </c:pt>
                <c:pt idx="25">
                  <c:v>0.56770833333333304</c:v>
                </c:pt>
                <c:pt idx="33">
                  <c:v>7.8125E-2</c:v>
                </c:pt>
                <c:pt idx="40">
                  <c:v>0.66666666666666696</c:v>
                </c:pt>
                <c:pt idx="41">
                  <c:v>0.75520833333333304</c:v>
                </c:pt>
                <c:pt idx="42">
                  <c:v>0.65625</c:v>
                </c:pt>
                <c:pt idx="43">
                  <c:v>0.44791666666666702</c:v>
                </c:pt>
                <c:pt idx="44">
                  <c:v>5.7925223802001102E-2</c:v>
                </c:pt>
                <c:pt idx="45">
                  <c:v>1.6666666666666701E-2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6-2847-9161-95AE43DD2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data'!$L$646:$L$691</c:f>
              <c:numCache>
                <c:formatCode>General</c:formatCode>
                <c:ptCount val="46"/>
                <c:pt idx="21">
                  <c:v>0.58333333333333304</c:v>
                </c:pt>
                <c:pt idx="22">
                  <c:v>0.99479166666666696</c:v>
                </c:pt>
                <c:pt idx="23">
                  <c:v>1</c:v>
                </c:pt>
                <c:pt idx="24">
                  <c:v>1</c:v>
                </c:pt>
                <c:pt idx="25">
                  <c:v>0.75</c:v>
                </c:pt>
                <c:pt idx="26">
                  <c:v>0.78125</c:v>
                </c:pt>
                <c:pt idx="27">
                  <c:v>0.78125</c:v>
                </c:pt>
                <c:pt idx="28">
                  <c:v>0.85416666666666696</c:v>
                </c:pt>
                <c:pt idx="29">
                  <c:v>0.984375</c:v>
                </c:pt>
                <c:pt idx="30">
                  <c:v>0.77083333333333304</c:v>
                </c:pt>
                <c:pt idx="31">
                  <c:v>0.77604166666666696</c:v>
                </c:pt>
                <c:pt idx="32">
                  <c:v>0.953125</c:v>
                </c:pt>
                <c:pt idx="33">
                  <c:v>0.984375</c:v>
                </c:pt>
                <c:pt idx="36">
                  <c:v>0.82325338894681999</c:v>
                </c:pt>
                <c:pt idx="37">
                  <c:v>0.91762252346193995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0-EE41-9A80-266CBFC6F4C1}"/>
            </c:ext>
          </c:extLst>
        </c:ser>
        <c:ser>
          <c:idx val="0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data'!$M$646:$M$691</c:f>
              <c:numCache>
                <c:formatCode>General</c:formatCode>
                <c:ptCount val="46"/>
                <c:pt idx="0">
                  <c:v>2.0833333333333301E-2</c:v>
                </c:pt>
                <c:pt idx="1">
                  <c:v>1E-3</c:v>
                </c:pt>
                <c:pt idx="2">
                  <c:v>2.6041666666666699E-2</c:v>
                </c:pt>
                <c:pt idx="3">
                  <c:v>1E-3</c:v>
                </c:pt>
                <c:pt idx="4">
                  <c:v>1.0416666666666701E-2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5.2083333333333296E-3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1.5625E-2</c:v>
                </c:pt>
                <c:pt idx="20">
                  <c:v>5.2083333333333296E-3</c:v>
                </c:pt>
                <c:pt idx="34">
                  <c:v>0.51148225469728603</c:v>
                </c:pt>
                <c:pt idx="35">
                  <c:v>0.44791666666666702</c:v>
                </c:pt>
                <c:pt idx="38">
                  <c:v>0.30729166666666702</c:v>
                </c:pt>
                <c:pt idx="39">
                  <c:v>0.55208333333333304</c:v>
                </c:pt>
                <c:pt idx="40">
                  <c:v>0.25520833333333298</c:v>
                </c:pt>
                <c:pt idx="41">
                  <c:v>0</c:v>
                </c:pt>
                <c:pt idx="42">
                  <c:v>1.0422094841063099E-2</c:v>
                </c:pt>
                <c:pt idx="43">
                  <c:v>1E-3</c:v>
                </c:pt>
                <c:pt idx="44">
                  <c:v>1E-3</c:v>
                </c:pt>
                <c:pt idx="4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A0-EE41-9A80-266CBFC6F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data'!$L$692:$L$737</c:f>
              <c:numCache>
                <c:formatCode>General</c:formatCode>
                <c:ptCount val="46"/>
                <c:pt idx="17">
                  <c:v>0.71875</c:v>
                </c:pt>
                <c:pt idx="18">
                  <c:v>0.98958333333333304</c:v>
                </c:pt>
                <c:pt idx="19">
                  <c:v>1</c:v>
                </c:pt>
                <c:pt idx="20">
                  <c:v>1</c:v>
                </c:pt>
                <c:pt idx="21">
                  <c:v>0.97916666666666696</c:v>
                </c:pt>
                <c:pt idx="22">
                  <c:v>0.93229166666666696</c:v>
                </c:pt>
                <c:pt idx="24">
                  <c:v>0.91666666666666696</c:v>
                </c:pt>
                <c:pt idx="25">
                  <c:v>1</c:v>
                </c:pt>
                <c:pt idx="26">
                  <c:v>0.98958333333333304</c:v>
                </c:pt>
                <c:pt idx="27">
                  <c:v>0.890625</c:v>
                </c:pt>
                <c:pt idx="28">
                  <c:v>0.85416666666666696</c:v>
                </c:pt>
                <c:pt idx="29">
                  <c:v>0.67708333333333304</c:v>
                </c:pt>
                <c:pt idx="30">
                  <c:v>0.96352266805627895</c:v>
                </c:pt>
                <c:pt idx="31">
                  <c:v>0.97916666666666696</c:v>
                </c:pt>
                <c:pt idx="32">
                  <c:v>0.8125</c:v>
                </c:pt>
                <c:pt idx="33">
                  <c:v>1</c:v>
                </c:pt>
                <c:pt idx="34">
                  <c:v>0.96875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0.97916666666666696</c:v>
                </c:pt>
                <c:pt idx="39">
                  <c:v>0.88020833333333304</c:v>
                </c:pt>
                <c:pt idx="40">
                  <c:v>0.88541666666666696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E-8A4B-BE4E-EC97A83C8CA1}"/>
            </c:ext>
          </c:extLst>
        </c:ser>
        <c:ser>
          <c:idx val="0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data'!$M$692:$M$737</c:f>
              <c:numCache>
                <c:formatCode>General</c:formatCode>
                <c:ptCount val="46"/>
                <c:pt idx="0">
                  <c:v>1.5625E-2</c:v>
                </c:pt>
                <c:pt idx="1">
                  <c:v>1.0416666666666701E-2</c:v>
                </c:pt>
                <c:pt idx="2">
                  <c:v>1E-3</c:v>
                </c:pt>
                <c:pt idx="3">
                  <c:v>1E-3</c:v>
                </c:pt>
                <c:pt idx="4">
                  <c:v>5.2083333333333296E-3</c:v>
                </c:pt>
                <c:pt idx="5">
                  <c:v>7.2916666666666699E-2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1.0416666666666701E-2</c:v>
                </c:pt>
                <c:pt idx="12">
                  <c:v>1.5625E-2</c:v>
                </c:pt>
                <c:pt idx="13">
                  <c:v>0.20833333333333301</c:v>
                </c:pt>
                <c:pt idx="14">
                  <c:v>0.171875</c:v>
                </c:pt>
                <c:pt idx="15">
                  <c:v>0.33333333333333298</c:v>
                </c:pt>
                <c:pt idx="16">
                  <c:v>0.19270833333333301</c:v>
                </c:pt>
                <c:pt idx="23">
                  <c:v>0.49479166666666702</c:v>
                </c:pt>
                <c:pt idx="41">
                  <c:v>0.78125</c:v>
                </c:pt>
                <c:pt idx="42">
                  <c:v>0.19672131147541</c:v>
                </c:pt>
                <c:pt idx="43">
                  <c:v>0.41145833333333298</c:v>
                </c:pt>
                <c:pt idx="44">
                  <c:v>0.33854166666666702</c:v>
                </c:pt>
                <c:pt idx="45">
                  <c:v>3.3333333333333298E-2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E-8A4B-BE4E-EC97A83C8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'SE data'!$L$166:$L$185</c:f>
              <c:numCache>
                <c:formatCode>General</c:formatCode>
                <c:ptCount val="20"/>
                <c:pt idx="0">
                  <c:v>0.79166666666666696</c:v>
                </c:pt>
                <c:pt idx="1">
                  <c:v>0.99468085106382997</c:v>
                </c:pt>
                <c:pt idx="2">
                  <c:v>0.98436685773840504</c:v>
                </c:pt>
                <c:pt idx="3">
                  <c:v>0.89577905158936899</c:v>
                </c:pt>
                <c:pt idx="4">
                  <c:v>0.96354166666666696</c:v>
                </c:pt>
                <c:pt idx="5">
                  <c:v>0.97916666666666696</c:v>
                </c:pt>
              </c:numCache>
            </c:numRef>
          </c:cat>
          <c:val>
            <c:numRef>
              <c:f>'SE data'!$L$738:$L$783</c:f>
              <c:numCache>
                <c:formatCode>General</c:formatCode>
                <c:ptCount val="46"/>
                <c:pt idx="19">
                  <c:v>1</c:v>
                </c:pt>
                <c:pt idx="20">
                  <c:v>0.984375</c:v>
                </c:pt>
                <c:pt idx="21">
                  <c:v>0.89528795811518302</c:v>
                </c:pt>
                <c:pt idx="22">
                  <c:v>0.90083565459610004</c:v>
                </c:pt>
                <c:pt idx="23">
                  <c:v>0.69270833333333304</c:v>
                </c:pt>
                <c:pt idx="24">
                  <c:v>0.5</c:v>
                </c:pt>
                <c:pt idx="27">
                  <c:v>0.97395833333333304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2-2543-8BCC-C1F43E9CC05D}"/>
            </c:ext>
          </c:extLst>
        </c:ser>
        <c:ser>
          <c:idx val="0"/>
          <c:order val="1"/>
          <c:spPr>
            <a:solidFill>
              <a:srgbClr val="00206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'SE data'!$M$738:$M$783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1.5625E-2</c:v>
                </c:pt>
                <c:pt idx="4">
                  <c:v>0.53645833333333304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0.38020833333333298</c:v>
                </c:pt>
                <c:pt idx="9">
                  <c:v>2.60688216892596E-2</c:v>
                </c:pt>
                <c:pt idx="10">
                  <c:v>0.13020833333333301</c:v>
                </c:pt>
                <c:pt idx="11">
                  <c:v>1.0443864229764999E-2</c:v>
                </c:pt>
                <c:pt idx="12">
                  <c:v>1E-3</c:v>
                </c:pt>
                <c:pt idx="13">
                  <c:v>1.0582010582010601E-2</c:v>
                </c:pt>
                <c:pt idx="14">
                  <c:v>2.7932960893854698E-2</c:v>
                </c:pt>
                <c:pt idx="15">
                  <c:v>1.5625E-2</c:v>
                </c:pt>
                <c:pt idx="16">
                  <c:v>1.5625E-2</c:v>
                </c:pt>
                <c:pt idx="17">
                  <c:v>0</c:v>
                </c:pt>
                <c:pt idx="18">
                  <c:v>0</c:v>
                </c:pt>
                <c:pt idx="25">
                  <c:v>0.30952380952380998</c:v>
                </c:pt>
                <c:pt idx="26">
                  <c:v>0.36458333333333298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E2-2543-8BCC-C1F43E9CC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95941088"/>
        <c:axId val="695941904"/>
      </c:barChart>
      <c:catAx>
        <c:axId val="69594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941904"/>
        <c:crosses val="autoZero"/>
        <c:auto val="1"/>
        <c:lblAlgn val="ctr"/>
        <c:lblOffset val="100"/>
        <c:noMultiLvlLbl val="0"/>
      </c:catAx>
      <c:valAx>
        <c:axId val="695941904"/>
        <c:scaling>
          <c:orientation val="minMax"/>
          <c:max val="1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6959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96213</xdr:colOff>
      <xdr:row>0</xdr:row>
      <xdr:rowOff>172990</xdr:rowOff>
    </xdr:from>
    <xdr:to>
      <xdr:col>35</xdr:col>
      <xdr:colOff>293283</xdr:colOff>
      <xdr:row>14</xdr:row>
      <xdr:rowOff>62923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217307-69D0-2542-97C9-34348E9C4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119528</xdr:colOff>
      <xdr:row>14</xdr:row>
      <xdr:rowOff>77051</xdr:rowOff>
    </xdr:from>
    <xdr:to>
      <xdr:col>35</xdr:col>
      <xdr:colOff>316598</xdr:colOff>
      <xdr:row>27</xdr:row>
      <xdr:rowOff>172519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D75ADD-DCF1-AA4E-9F00-2BCB5F87B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19241</xdr:colOff>
      <xdr:row>28</xdr:row>
      <xdr:rowOff>133459</xdr:rowOff>
    </xdr:from>
    <xdr:to>
      <xdr:col>35</xdr:col>
      <xdr:colOff>216311</xdr:colOff>
      <xdr:row>42</xdr:row>
      <xdr:rowOff>46457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BE7470-5E12-754C-961E-0B52DF0A9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197069</xdr:colOff>
      <xdr:row>43</xdr:row>
      <xdr:rowOff>87586</xdr:rowOff>
    </xdr:from>
    <xdr:to>
      <xdr:col>35</xdr:col>
      <xdr:colOff>391803</xdr:colOff>
      <xdr:row>57</xdr:row>
      <xdr:rowOff>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06EB3B-5A6D-C544-B15B-91DB07E26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153275</xdr:colOff>
      <xdr:row>58</xdr:row>
      <xdr:rowOff>100569</xdr:rowOff>
    </xdr:from>
    <xdr:to>
      <xdr:col>35</xdr:col>
      <xdr:colOff>348009</xdr:colOff>
      <xdr:row>72</xdr:row>
      <xdr:rowOff>13567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5FF8A5-7063-FE42-9D86-B1B2B6DF8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58738</xdr:colOff>
      <xdr:row>74</xdr:row>
      <xdr:rowOff>61913</xdr:rowOff>
    </xdr:from>
    <xdr:to>
      <xdr:col>35</xdr:col>
      <xdr:colOff>248709</xdr:colOff>
      <xdr:row>87</xdr:row>
      <xdr:rowOff>167217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23730B-494A-0544-A0F1-28F9119A7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595312</xdr:colOff>
      <xdr:row>88</xdr:row>
      <xdr:rowOff>158750</xdr:rowOff>
    </xdr:from>
    <xdr:to>
      <xdr:col>35</xdr:col>
      <xdr:colOff>790046</xdr:colOff>
      <xdr:row>102</xdr:row>
      <xdr:rowOff>70380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32850C-661E-9C4E-BCB2-C7597B6D4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476249</xdr:colOff>
      <xdr:row>103</xdr:row>
      <xdr:rowOff>158750</xdr:rowOff>
    </xdr:from>
    <xdr:to>
      <xdr:col>35</xdr:col>
      <xdr:colOff>670983</xdr:colOff>
      <xdr:row>117</xdr:row>
      <xdr:rowOff>70380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C0ECFF-A55D-4D4F-8F26-1A0948B5D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396875</xdr:colOff>
      <xdr:row>120</xdr:row>
      <xdr:rowOff>158750</xdr:rowOff>
    </xdr:from>
    <xdr:to>
      <xdr:col>35</xdr:col>
      <xdr:colOff>591609</xdr:colOff>
      <xdr:row>134</xdr:row>
      <xdr:rowOff>70379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8708E17-F030-B94D-8B7B-C649C0CA4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357187</xdr:colOff>
      <xdr:row>137</xdr:row>
      <xdr:rowOff>158750</xdr:rowOff>
    </xdr:from>
    <xdr:to>
      <xdr:col>35</xdr:col>
      <xdr:colOff>551921</xdr:colOff>
      <xdr:row>151</xdr:row>
      <xdr:rowOff>70378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01E8061-942F-6145-A87A-1098F2923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515937</xdr:colOff>
      <xdr:row>154</xdr:row>
      <xdr:rowOff>119063</xdr:rowOff>
    </xdr:from>
    <xdr:to>
      <xdr:col>35</xdr:col>
      <xdr:colOff>710671</xdr:colOff>
      <xdr:row>168</xdr:row>
      <xdr:rowOff>30691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B284ED4-BFBC-5948-BFA1-67E090840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515937</xdr:colOff>
      <xdr:row>170</xdr:row>
      <xdr:rowOff>1</xdr:rowOff>
    </xdr:from>
    <xdr:to>
      <xdr:col>35</xdr:col>
      <xdr:colOff>710671</xdr:colOff>
      <xdr:row>183</xdr:row>
      <xdr:rowOff>110066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9573AA9-68A7-3543-A73F-34F21C7DD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</xdr:col>
      <xdr:colOff>674687</xdr:colOff>
      <xdr:row>186</xdr:row>
      <xdr:rowOff>39688</xdr:rowOff>
    </xdr:from>
    <xdr:to>
      <xdr:col>36</xdr:col>
      <xdr:colOff>35983</xdr:colOff>
      <xdr:row>199</xdr:row>
      <xdr:rowOff>149753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19BCC66-F7E4-224D-9BF0-7FD1E3FE3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595312</xdr:colOff>
      <xdr:row>203</xdr:row>
      <xdr:rowOff>0</xdr:rowOff>
    </xdr:from>
    <xdr:to>
      <xdr:col>35</xdr:col>
      <xdr:colOff>790046</xdr:colOff>
      <xdr:row>216</xdr:row>
      <xdr:rowOff>110067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89438FA-8B7F-E340-9867-D21121D4F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27</xdr:col>
      <xdr:colOff>158750</xdr:colOff>
      <xdr:row>218</xdr:row>
      <xdr:rowOff>79375</xdr:rowOff>
    </xdr:from>
    <xdr:to>
      <xdr:col>36</xdr:col>
      <xdr:colOff>353483</xdr:colOff>
      <xdr:row>231</xdr:row>
      <xdr:rowOff>189440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8D9A563-B8C5-1D40-AF5B-3F386AFFA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147615</xdr:colOff>
      <xdr:row>236</xdr:row>
      <xdr:rowOff>0</xdr:rowOff>
    </xdr:from>
    <xdr:to>
      <xdr:col>36</xdr:col>
      <xdr:colOff>353483</xdr:colOff>
      <xdr:row>249</xdr:row>
      <xdr:rowOff>110065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BB7AB5A-2151-3946-9FCA-EFC072A0C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26</xdr:col>
      <xdr:colOff>555624</xdr:colOff>
      <xdr:row>253</xdr:row>
      <xdr:rowOff>79375</xdr:rowOff>
    </xdr:from>
    <xdr:to>
      <xdr:col>35</xdr:col>
      <xdr:colOff>751016</xdr:colOff>
      <xdr:row>266</xdr:row>
      <xdr:rowOff>189440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D6F79F4-161F-0D4B-A2A6-04CFBFC97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221155</xdr:colOff>
      <xdr:row>2</xdr:row>
      <xdr:rowOff>43794</xdr:rowOff>
    </xdr:from>
    <xdr:to>
      <xdr:col>25</xdr:col>
      <xdr:colOff>153276</xdr:colOff>
      <xdr:row>16</xdr:row>
      <xdr:rowOff>35911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88D52B8-B757-DE4B-9504-6EDAA8A5B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17</xdr:col>
      <xdr:colOff>242930</xdr:colOff>
      <xdr:row>16</xdr:row>
      <xdr:rowOff>59250</xdr:rowOff>
    </xdr:from>
    <xdr:to>
      <xdr:col>25</xdr:col>
      <xdr:colOff>175051</xdr:colOff>
      <xdr:row>30</xdr:row>
      <xdr:rowOff>51368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8798BB5-A66B-E74E-9B02-DA91B52A6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18</xdr:col>
      <xdr:colOff>0</xdr:colOff>
      <xdr:row>94</xdr:row>
      <xdr:rowOff>0</xdr:rowOff>
    </xdr:from>
    <xdr:to>
      <xdr:col>26</xdr:col>
      <xdr:colOff>194880</xdr:colOff>
      <xdr:row>107</xdr:row>
      <xdr:rowOff>211084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BE8D379-9842-564C-B175-6FC6BCF79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896257</xdr:colOff>
      <xdr:row>168</xdr:row>
      <xdr:rowOff>124278</xdr:rowOff>
    </xdr:from>
    <xdr:to>
      <xdr:col>25</xdr:col>
      <xdr:colOff>792687</xdr:colOff>
      <xdr:row>182</xdr:row>
      <xdr:rowOff>124225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75D42AC-0FE0-F846-8786-6EC3549A9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17</xdr:col>
      <xdr:colOff>762000</xdr:colOff>
      <xdr:row>194</xdr:row>
      <xdr:rowOff>101600</xdr:rowOff>
    </xdr:from>
    <xdr:to>
      <xdr:col>25</xdr:col>
      <xdr:colOff>658430</xdr:colOff>
      <xdr:row>208</xdr:row>
      <xdr:rowOff>101547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1EE92E4-E869-444A-8C52-52FD3A31C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17</xdr:col>
      <xdr:colOff>514048</xdr:colOff>
      <xdr:row>230</xdr:row>
      <xdr:rowOff>30238</xdr:rowOff>
    </xdr:from>
    <xdr:to>
      <xdr:col>25</xdr:col>
      <xdr:colOff>410478</xdr:colOff>
      <xdr:row>244</xdr:row>
      <xdr:rowOff>17485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93BAA54-7F21-2B45-A90B-C31F46F6D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281</xdr:row>
      <xdr:rowOff>0</xdr:rowOff>
    </xdr:from>
    <xdr:to>
      <xdr:col>26</xdr:col>
      <xdr:colOff>163799</xdr:colOff>
      <xdr:row>294</xdr:row>
      <xdr:rowOff>187773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35C2AA2-932D-064A-B726-B4B13AAA8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18</xdr:col>
      <xdr:colOff>0</xdr:colOff>
      <xdr:row>324</xdr:row>
      <xdr:rowOff>0</xdr:rowOff>
    </xdr:from>
    <xdr:to>
      <xdr:col>26</xdr:col>
      <xdr:colOff>163799</xdr:colOff>
      <xdr:row>337</xdr:row>
      <xdr:rowOff>187773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5F4CB3FE-CA5A-2146-8214-FF2D479DA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18</xdr:col>
      <xdr:colOff>0</xdr:colOff>
      <xdr:row>373</xdr:row>
      <xdr:rowOff>100263</xdr:rowOff>
    </xdr:from>
    <xdr:to>
      <xdr:col>29</xdr:col>
      <xdr:colOff>267368</xdr:colOff>
      <xdr:row>396</xdr:row>
      <xdr:rowOff>187773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4116340-A7B9-5447-A873-173F94232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18</xdr:col>
      <xdr:colOff>385536</xdr:colOff>
      <xdr:row>415</xdr:row>
      <xdr:rowOff>158750</xdr:rowOff>
    </xdr:from>
    <xdr:to>
      <xdr:col>29</xdr:col>
      <xdr:colOff>652904</xdr:colOff>
      <xdr:row>439</xdr:row>
      <xdr:rowOff>42153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72C40A7-5F8D-E14B-AE52-AD55EDD2F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17</xdr:col>
      <xdr:colOff>901580</xdr:colOff>
      <xdr:row>477</xdr:row>
      <xdr:rowOff>150123</xdr:rowOff>
    </xdr:from>
    <xdr:to>
      <xdr:col>29</xdr:col>
      <xdr:colOff>79863</xdr:colOff>
      <xdr:row>501</xdr:row>
      <xdr:rowOff>33526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58E5478-7CC5-0141-BE38-6A1811E0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511</xdr:row>
      <xdr:rowOff>0</xdr:rowOff>
    </xdr:from>
    <xdr:to>
      <xdr:col>29</xdr:col>
      <xdr:colOff>278949</xdr:colOff>
      <xdr:row>534</xdr:row>
      <xdr:rowOff>86603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3922793-20A8-E64F-AEA7-D4522F52D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19</xdr:col>
      <xdr:colOff>0</xdr:colOff>
      <xdr:row>557</xdr:row>
      <xdr:rowOff>195383</xdr:rowOff>
    </xdr:from>
    <xdr:to>
      <xdr:col>30</xdr:col>
      <xdr:colOff>703385</xdr:colOff>
      <xdr:row>583</xdr:row>
      <xdr:rowOff>136768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9287D52-70D4-4E43-9A68-1BB5AF8D7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20</xdr:col>
      <xdr:colOff>0</xdr:colOff>
      <xdr:row>607</xdr:row>
      <xdr:rowOff>0</xdr:rowOff>
    </xdr:from>
    <xdr:to>
      <xdr:col>31</xdr:col>
      <xdr:colOff>703385</xdr:colOff>
      <xdr:row>632</xdr:row>
      <xdr:rowOff>144585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2F5807D0-0221-3241-A9D9-99CB7F4D1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19</xdr:col>
      <xdr:colOff>0</xdr:colOff>
      <xdr:row>669</xdr:row>
      <xdr:rowOff>0</xdr:rowOff>
    </xdr:from>
    <xdr:to>
      <xdr:col>30</xdr:col>
      <xdr:colOff>703386</xdr:colOff>
      <xdr:row>694</xdr:row>
      <xdr:rowOff>144584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7ADF31A-33F0-3146-88A8-CDAD2ED21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19</xdr:col>
      <xdr:colOff>0</xdr:colOff>
      <xdr:row>704</xdr:row>
      <xdr:rowOff>176388</xdr:rowOff>
    </xdr:from>
    <xdr:to>
      <xdr:col>30</xdr:col>
      <xdr:colOff>703386</xdr:colOff>
      <xdr:row>730</xdr:row>
      <xdr:rowOff>109305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F53A748D-781D-1F4F-839C-A54C8F6CA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19</xdr:col>
      <xdr:colOff>0</xdr:colOff>
      <xdr:row>742</xdr:row>
      <xdr:rowOff>0</xdr:rowOff>
    </xdr:from>
    <xdr:to>
      <xdr:col>30</xdr:col>
      <xdr:colOff>703386</xdr:colOff>
      <xdr:row>767</xdr:row>
      <xdr:rowOff>136117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EFB433C-E853-E346-8EC6-3C5C4413F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3AA5-E32C-654D-880C-61D508A4F493}">
  <dimension ref="A1:R783"/>
  <sheetViews>
    <sheetView topLeftCell="A589" zoomScale="35" zoomScaleNormal="200" workbookViewId="0">
      <selection activeCell="N540" sqref="N540"/>
    </sheetView>
  </sheetViews>
  <sheetFormatPr baseColWidth="10" defaultRowHeight="16" x14ac:dyDescent="0.2"/>
  <cols>
    <col min="8" max="8" width="14.33203125" bestFit="1" customWidth="1"/>
    <col min="9" max="9" width="13.6640625" customWidth="1"/>
    <col min="13" max="14" width="14.33203125" bestFit="1" customWidth="1"/>
    <col min="15" max="15" width="14.33203125" customWidth="1"/>
    <col min="17" max="18" width="14.33203125" customWidth="1"/>
  </cols>
  <sheetData>
    <row r="1" spans="1:18" x14ac:dyDescent="0.2">
      <c r="A1" s="12"/>
      <c r="B1" s="3" t="s">
        <v>3</v>
      </c>
      <c r="C1" s="3" t="s">
        <v>15</v>
      </c>
      <c r="D1" s="3" t="s">
        <v>14</v>
      </c>
      <c r="E1" s="3" t="s">
        <v>13</v>
      </c>
      <c r="F1" s="3" t="s">
        <v>12</v>
      </c>
      <c r="G1" s="3" t="s">
        <v>11</v>
      </c>
      <c r="H1" s="3" t="s">
        <v>5</v>
      </c>
      <c r="I1" s="3" t="s">
        <v>10</v>
      </c>
      <c r="J1" s="3" t="s">
        <v>9</v>
      </c>
      <c r="K1" s="3" t="s">
        <v>8</v>
      </c>
      <c r="L1" s="3" t="s">
        <v>7</v>
      </c>
      <c r="M1" s="11" t="s">
        <v>6</v>
      </c>
      <c r="N1" s="3" t="s">
        <v>5</v>
      </c>
      <c r="O1" s="3" t="s">
        <v>4</v>
      </c>
      <c r="P1" s="3" t="s">
        <v>3</v>
      </c>
      <c r="Q1" s="3" t="s">
        <v>2</v>
      </c>
      <c r="R1" s="3" t="s">
        <v>1</v>
      </c>
    </row>
    <row r="2" spans="1:18" x14ac:dyDescent="0.2">
      <c r="A2" s="3">
        <v>1</v>
      </c>
      <c r="B2" s="2">
        <v>37257</v>
      </c>
      <c r="C2" s="1">
        <v>0.102996895999409</v>
      </c>
      <c r="D2" s="1">
        <v>9.0086519718170194E-2</v>
      </c>
      <c r="E2" s="1">
        <v>160.69999999999999</v>
      </c>
      <c r="F2" s="1">
        <v>0</v>
      </c>
      <c r="G2" s="1">
        <v>29.482734375</v>
      </c>
      <c r="H2" s="1">
        <v>0</v>
      </c>
      <c r="I2" s="1">
        <v>0</v>
      </c>
      <c r="J2" s="1">
        <v>1</v>
      </c>
      <c r="K2" s="1">
        <v>2002</v>
      </c>
      <c r="L2" s="1"/>
      <c r="M2" s="1">
        <v>1E-3</v>
      </c>
      <c r="N2" s="1">
        <v>1E-3</v>
      </c>
      <c r="O2" s="1"/>
      <c r="P2" s="2">
        <v>37257</v>
      </c>
      <c r="Q2" s="1">
        <v>1</v>
      </c>
      <c r="R2" s="1"/>
    </row>
    <row r="3" spans="1:18" x14ac:dyDescent="0.2">
      <c r="A3" s="3">
        <v>2</v>
      </c>
      <c r="B3" s="2">
        <v>37265</v>
      </c>
      <c r="C3" s="1">
        <v>0.118424409051095</v>
      </c>
      <c r="D3" s="1">
        <v>0.116876122852166</v>
      </c>
      <c r="E3" s="1">
        <v>182.2</v>
      </c>
      <c r="F3" s="1">
        <v>0</v>
      </c>
      <c r="G3" s="1">
        <v>28.590729166666701</v>
      </c>
      <c r="H3" s="1">
        <v>0</v>
      </c>
      <c r="I3" s="1">
        <v>0.104166666666667</v>
      </c>
      <c r="J3" s="1">
        <v>1</v>
      </c>
      <c r="K3" s="1">
        <v>2002</v>
      </c>
      <c r="M3" s="1">
        <v>1E-3</v>
      </c>
      <c r="N3" s="1">
        <v>1E-3</v>
      </c>
      <c r="O3" s="1">
        <f>(N3-N2)/N2</f>
        <v>0</v>
      </c>
      <c r="P3" s="2">
        <v>37265</v>
      </c>
      <c r="Q3" s="1">
        <v>2</v>
      </c>
      <c r="R3" s="1"/>
    </row>
    <row r="4" spans="1:18" x14ac:dyDescent="0.2">
      <c r="A4" s="3">
        <v>3</v>
      </c>
      <c r="B4" s="2">
        <v>37273</v>
      </c>
      <c r="C4" s="1" t="s">
        <v>0</v>
      </c>
      <c r="D4" s="1" t="s">
        <v>0</v>
      </c>
      <c r="E4" s="1">
        <v>192</v>
      </c>
      <c r="F4" s="1">
        <v>20</v>
      </c>
      <c r="G4" s="1">
        <v>28.203749999999999</v>
      </c>
      <c r="H4" s="1">
        <v>0.104166666666667</v>
      </c>
      <c r="I4" s="1">
        <v>0</v>
      </c>
      <c r="J4" s="1">
        <v>1</v>
      </c>
      <c r="K4" s="1">
        <v>2002</v>
      </c>
      <c r="L4" s="1"/>
      <c r="M4" s="1">
        <v>0.104166666666667</v>
      </c>
      <c r="N4" s="1">
        <v>0.104166666666667</v>
      </c>
      <c r="O4" s="1">
        <f>(N4-N3)/N3</f>
        <v>103.166666666667</v>
      </c>
      <c r="P4" s="2">
        <v>37273</v>
      </c>
      <c r="Q4" s="1">
        <v>3</v>
      </c>
      <c r="R4" s="1"/>
    </row>
    <row r="5" spans="1:18" x14ac:dyDescent="0.2">
      <c r="A5" s="3">
        <v>4</v>
      </c>
      <c r="B5" s="2">
        <v>37281</v>
      </c>
      <c r="C5" s="1" t="s">
        <v>0</v>
      </c>
      <c r="D5" s="1" t="s">
        <v>0</v>
      </c>
      <c r="E5" s="1">
        <v>192</v>
      </c>
      <c r="F5" s="1">
        <v>0</v>
      </c>
      <c r="G5" s="1">
        <v>27.879296875000001</v>
      </c>
      <c r="H5" s="1">
        <v>0</v>
      </c>
      <c r="I5" s="1">
        <v>0</v>
      </c>
      <c r="J5" s="1">
        <v>1</v>
      </c>
      <c r="K5" s="1">
        <v>2002</v>
      </c>
      <c r="L5" s="1"/>
      <c r="M5" s="1">
        <v>1E-3</v>
      </c>
      <c r="N5" s="1">
        <v>1E-3</v>
      </c>
      <c r="O5" s="1">
        <f>(N5-N4)/N4</f>
        <v>-0.99040000000000006</v>
      </c>
      <c r="P5" s="2">
        <v>37281</v>
      </c>
      <c r="Q5" s="1">
        <v>4</v>
      </c>
      <c r="R5" s="1"/>
    </row>
    <row r="6" spans="1:18" x14ac:dyDescent="0.2">
      <c r="A6" s="3">
        <v>5</v>
      </c>
      <c r="B6" s="2">
        <v>37289</v>
      </c>
      <c r="C6" s="1">
        <v>0.17640487537827601</v>
      </c>
      <c r="D6" s="1">
        <v>0.17253339663147901</v>
      </c>
      <c r="E6" s="1">
        <v>192</v>
      </c>
      <c r="F6" s="1">
        <v>0</v>
      </c>
      <c r="G6" s="1">
        <v>27.710885416666699</v>
      </c>
      <c r="H6" s="1">
        <v>0</v>
      </c>
      <c r="I6" s="1">
        <v>0</v>
      </c>
      <c r="J6" s="1">
        <v>2</v>
      </c>
      <c r="K6" s="1">
        <v>2002</v>
      </c>
      <c r="L6" s="1"/>
      <c r="M6" s="1">
        <v>1E-3</v>
      </c>
      <c r="N6" s="1">
        <v>1E-3</v>
      </c>
      <c r="O6" s="1">
        <f>(N6-N5)/N5</f>
        <v>0</v>
      </c>
      <c r="P6" s="2">
        <v>37289</v>
      </c>
      <c r="Q6" s="1">
        <v>5</v>
      </c>
      <c r="R6" s="1"/>
    </row>
    <row r="7" spans="1:18" x14ac:dyDescent="0.2">
      <c r="A7" s="3">
        <v>6</v>
      </c>
      <c r="B7" s="2">
        <v>37297</v>
      </c>
      <c r="C7" s="1">
        <v>0.14343448129256001</v>
      </c>
      <c r="D7" s="1">
        <v>0.15049522370099999</v>
      </c>
      <c r="E7" s="1">
        <v>192</v>
      </c>
      <c r="F7" s="1">
        <v>0</v>
      </c>
      <c r="G7" s="1">
        <v>28.478984375</v>
      </c>
      <c r="H7" s="1">
        <v>0</v>
      </c>
      <c r="I7" s="1">
        <v>0</v>
      </c>
      <c r="J7" s="1">
        <v>2</v>
      </c>
      <c r="K7" s="1">
        <v>2002</v>
      </c>
      <c r="L7" s="1"/>
      <c r="M7" s="1">
        <v>1E-3</v>
      </c>
      <c r="N7" s="1">
        <v>1E-3</v>
      </c>
      <c r="O7" s="1">
        <f>(N7-N6)/N6</f>
        <v>0</v>
      </c>
      <c r="P7" s="2">
        <v>37297</v>
      </c>
      <c r="Q7" s="1">
        <v>6</v>
      </c>
      <c r="R7" s="1"/>
    </row>
    <row r="8" spans="1:18" x14ac:dyDescent="0.2">
      <c r="A8" s="3">
        <v>7</v>
      </c>
      <c r="B8" s="2">
        <v>37305</v>
      </c>
      <c r="C8" s="1">
        <v>0.10851072473451499</v>
      </c>
      <c r="D8" s="1">
        <v>0.10468346625566501</v>
      </c>
      <c r="E8" s="1">
        <v>192</v>
      </c>
      <c r="F8" s="1">
        <v>0</v>
      </c>
      <c r="G8" s="1">
        <v>29.0109114583333</v>
      </c>
      <c r="H8" s="1">
        <v>0</v>
      </c>
      <c r="I8" s="1">
        <v>0</v>
      </c>
      <c r="J8" s="1">
        <v>2</v>
      </c>
      <c r="K8" s="1">
        <v>2002</v>
      </c>
      <c r="L8" s="1"/>
      <c r="M8" s="1">
        <v>1E-3</v>
      </c>
      <c r="N8" s="1">
        <v>1E-3</v>
      </c>
      <c r="O8" s="1">
        <f>(N8-N7)/N7</f>
        <v>0</v>
      </c>
      <c r="P8" s="2">
        <v>37305</v>
      </c>
      <c r="Q8" s="1">
        <v>7</v>
      </c>
      <c r="R8" s="1"/>
    </row>
    <row r="9" spans="1:18" x14ac:dyDescent="0.2">
      <c r="A9" s="3">
        <v>8</v>
      </c>
      <c r="B9" s="2">
        <v>37313</v>
      </c>
      <c r="C9" s="1">
        <v>8.9683443675806496E-2</v>
      </c>
      <c r="D9" s="1">
        <v>8.1381279975175899E-2</v>
      </c>
      <c r="E9" s="1">
        <v>189.7</v>
      </c>
      <c r="F9" s="1">
        <v>0</v>
      </c>
      <c r="G9" s="1">
        <v>29.025104166666701</v>
      </c>
      <c r="H9" s="1">
        <v>0</v>
      </c>
      <c r="I9" s="1">
        <v>0</v>
      </c>
      <c r="J9" s="1">
        <v>2</v>
      </c>
      <c r="K9" s="1">
        <v>2002</v>
      </c>
      <c r="L9" s="1"/>
      <c r="M9" s="1">
        <v>1E-3</v>
      </c>
      <c r="N9" s="1">
        <v>1E-3</v>
      </c>
      <c r="O9" s="1">
        <f>(N9-N8)/N8</f>
        <v>0</v>
      </c>
      <c r="P9" s="2">
        <v>37313</v>
      </c>
      <c r="Q9" s="1">
        <v>8</v>
      </c>
      <c r="R9" s="1"/>
    </row>
    <row r="10" spans="1:18" x14ac:dyDescent="0.2">
      <c r="A10" s="3">
        <v>9</v>
      </c>
      <c r="B10" s="2">
        <v>37321</v>
      </c>
      <c r="C10" s="1">
        <v>9.6440120958364906E-2</v>
      </c>
      <c r="D10" s="1" t="s">
        <v>0</v>
      </c>
      <c r="E10" s="1">
        <v>192</v>
      </c>
      <c r="F10" s="1">
        <v>0</v>
      </c>
      <c r="G10" s="1">
        <v>28.9925260416667</v>
      </c>
      <c r="H10" s="1">
        <v>0</v>
      </c>
      <c r="I10" s="1">
        <v>5.2137643378519297E-3</v>
      </c>
      <c r="J10" s="1">
        <v>3</v>
      </c>
      <c r="K10" s="1">
        <v>2002</v>
      </c>
      <c r="L10" s="1"/>
      <c r="M10" s="1">
        <v>1E-3</v>
      </c>
      <c r="N10" s="1">
        <v>1E-3</v>
      </c>
      <c r="O10" s="1">
        <f>(N10-N9)/N9</f>
        <v>0</v>
      </c>
      <c r="P10" s="2">
        <v>37321</v>
      </c>
      <c r="Q10" s="1">
        <v>9</v>
      </c>
      <c r="R10" s="1"/>
    </row>
    <row r="11" spans="1:18" x14ac:dyDescent="0.2">
      <c r="A11" s="3">
        <v>10</v>
      </c>
      <c r="B11" s="2">
        <v>37329</v>
      </c>
      <c r="C11" s="1">
        <v>8.6738684856743506E-2</v>
      </c>
      <c r="D11" s="1">
        <v>8.3998497575521497E-2</v>
      </c>
      <c r="E11" s="1">
        <v>191.8</v>
      </c>
      <c r="F11" s="1">
        <v>1</v>
      </c>
      <c r="G11" s="1">
        <v>29.161484375000001</v>
      </c>
      <c r="H11" s="1">
        <v>5.2137643378519297E-3</v>
      </c>
      <c r="I11" s="1">
        <v>0</v>
      </c>
      <c r="J11" s="1">
        <v>3</v>
      </c>
      <c r="K11" s="1">
        <v>2002</v>
      </c>
      <c r="L11" s="1"/>
      <c r="M11" s="1">
        <v>5.2137643378519297E-3</v>
      </c>
      <c r="N11" s="1">
        <v>5.2137643378519297E-3</v>
      </c>
      <c r="O11" s="1">
        <f>(N11-N10)/N10</f>
        <v>4.2137643378519298</v>
      </c>
      <c r="P11" s="2">
        <v>37329</v>
      </c>
      <c r="Q11" s="1">
        <v>10</v>
      </c>
      <c r="R11" s="1"/>
    </row>
    <row r="12" spans="1:18" x14ac:dyDescent="0.2">
      <c r="A12" s="3">
        <v>11</v>
      </c>
      <c r="B12" s="2">
        <v>37337</v>
      </c>
      <c r="C12" s="1">
        <v>7.1826226871322701E-2</v>
      </c>
      <c r="D12" s="1" t="s">
        <v>0</v>
      </c>
      <c r="E12" s="1">
        <v>192</v>
      </c>
      <c r="F12" s="1">
        <v>0</v>
      </c>
      <c r="G12" s="1">
        <v>29.02734375</v>
      </c>
      <c r="H12" s="1">
        <v>0</v>
      </c>
      <c r="I12" s="1">
        <v>0</v>
      </c>
      <c r="J12" s="1">
        <v>3</v>
      </c>
      <c r="K12" s="1">
        <v>2002</v>
      </c>
      <c r="L12" s="1"/>
      <c r="M12" s="1">
        <v>1E-3</v>
      </c>
      <c r="N12" s="1">
        <v>1E-3</v>
      </c>
      <c r="O12" s="1">
        <f>(N12-N11)/N11</f>
        <v>-0.80820000000000003</v>
      </c>
      <c r="P12" s="2">
        <v>37337</v>
      </c>
      <c r="Q12" s="1">
        <v>11</v>
      </c>
      <c r="R12" s="1"/>
    </row>
    <row r="13" spans="1:18" x14ac:dyDescent="0.2">
      <c r="A13" s="3">
        <v>12</v>
      </c>
      <c r="B13" s="2">
        <v>37345</v>
      </c>
      <c r="C13" s="1">
        <v>0.11242560056610899</v>
      </c>
      <c r="D13" s="1">
        <v>0.102774020284414</v>
      </c>
      <c r="E13" s="1">
        <v>192</v>
      </c>
      <c r="F13" s="1">
        <v>0</v>
      </c>
      <c r="G13" s="1">
        <v>29.1128125</v>
      </c>
      <c r="H13" s="1">
        <v>0</v>
      </c>
      <c r="I13" s="1">
        <v>0</v>
      </c>
      <c r="J13" s="1">
        <v>3</v>
      </c>
      <c r="K13" s="1">
        <v>2002</v>
      </c>
      <c r="L13" s="1"/>
      <c r="M13" s="1">
        <v>1E-3</v>
      </c>
      <c r="N13" s="1">
        <v>1E-3</v>
      </c>
      <c r="O13" s="1">
        <f>(N13-N12)/N12</f>
        <v>0</v>
      </c>
      <c r="P13" s="2">
        <v>37345</v>
      </c>
      <c r="Q13" s="1">
        <v>12</v>
      </c>
      <c r="R13" s="1"/>
    </row>
    <row r="14" spans="1:18" x14ac:dyDescent="0.2">
      <c r="A14" s="3">
        <v>13</v>
      </c>
      <c r="B14" s="2">
        <v>37353</v>
      </c>
      <c r="C14" s="1">
        <v>9.9723854119127403E-2</v>
      </c>
      <c r="D14" s="1">
        <v>0.10760727028052</v>
      </c>
      <c r="E14" s="1">
        <v>192</v>
      </c>
      <c r="F14" s="1">
        <v>0</v>
      </c>
      <c r="G14" s="1">
        <v>29.3787239583333</v>
      </c>
      <c r="H14" s="1">
        <v>0</v>
      </c>
      <c r="I14" s="1">
        <v>0</v>
      </c>
      <c r="J14" s="1">
        <v>4</v>
      </c>
      <c r="K14" s="1">
        <v>2002</v>
      </c>
      <c r="L14" s="1"/>
      <c r="M14" s="1">
        <v>1E-3</v>
      </c>
      <c r="N14" s="1">
        <v>1E-3</v>
      </c>
      <c r="O14" s="1">
        <f>(N14-N13)/N13</f>
        <v>0</v>
      </c>
      <c r="P14" s="2">
        <v>37353</v>
      </c>
      <c r="Q14" s="1">
        <v>13</v>
      </c>
      <c r="R14" s="1"/>
    </row>
    <row r="15" spans="1:18" x14ac:dyDescent="0.2">
      <c r="A15" s="3">
        <v>14</v>
      </c>
      <c r="B15" s="2">
        <v>37361</v>
      </c>
      <c r="C15" s="1">
        <v>9.9782551578306497E-2</v>
      </c>
      <c r="D15" s="1">
        <v>7.9317549864451095E-2</v>
      </c>
      <c r="E15" s="1">
        <v>192</v>
      </c>
      <c r="F15" s="1">
        <v>0</v>
      </c>
      <c r="G15" s="1">
        <v>29.347239583333302</v>
      </c>
      <c r="H15" s="1">
        <v>0</v>
      </c>
      <c r="I15" s="1">
        <v>2.0833333333333301E-2</v>
      </c>
      <c r="J15" s="1">
        <v>4</v>
      </c>
      <c r="K15" s="1">
        <v>2002</v>
      </c>
      <c r="L15" s="1"/>
      <c r="M15" s="1">
        <v>1E-3</v>
      </c>
      <c r="N15" s="1">
        <v>1E-3</v>
      </c>
      <c r="O15" s="1">
        <f>(N15-N14)/N14</f>
        <v>0</v>
      </c>
      <c r="P15" s="2">
        <v>37361</v>
      </c>
      <c r="Q15" s="1">
        <v>14</v>
      </c>
      <c r="R15" s="1"/>
    </row>
    <row r="16" spans="1:18" x14ac:dyDescent="0.2">
      <c r="A16" s="3">
        <v>15</v>
      </c>
      <c r="B16" s="2">
        <v>37369</v>
      </c>
      <c r="C16" s="1">
        <v>7.3846053332090406E-2</v>
      </c>
      <c r="D16" s="1">
        <v>5.9860628098249401E-2</v>
      </c>
      <c r="E16" s="1">
        <v>192</v>
      </c>
      <c r="F16" s="1">
        <v>4</v>
      </c>
      <c r="G16" s="1">
        <v>28.9519791666667</v>
      </c>
      <c r="H16" s="1">
        <v>2.0833333333333301E-2</v>
      </c>
      <c r="I16" s="1">
        <v>0.421875</v>
      </c>
      <c r="J16" s="1">
        <v>4</v>
      </c>
      <c r="K16" s="1">
        <v>2002</v>
      </c>
      <c r="L16" s="1"/>
      <c r="M16" s="1">
        <v>2.0833333333333301E-2</v>
      </c>
      <c r="N16" s="1">
        <v>2.0833333333333301E-2</v>
      </c>
      <c r="O16" s="1">
        <f>(N16-N15)/N15</f>
        <v>19.8333333333333</v>
      </c>
      <c r="P16" s="2">
        <v>37369</v>
      </c>
      <c r="Q16" s="1">
        <v>15</v>
      </c>
      <c r="R16" s="1"/>
    </row>
    <row r="17" spans="1:18" x14ac:dyDescent="0.2">
      <c r="A17" s="3">
        <v>16</v>
      </c>
      <c r="B17" s="2">
        <v>37377</v>
      </c>
      <c r="C17" s="1">
        <v>0.118298445272883</v>
      </c>
      <c r="D17" s="1">
        <v>0.11203137536843601</v>
      </c>
      <c r="E17" s="1">
        <v>192</v>
      </c>
      <c r="F17" s="1">
        <v>81</v>
      </c>
      <c r="G17" s="1">
        <v>28.486953124999999</v>
      </c>
      <c r="H17" s="1">
        <v>0.421875</v>
      </c>
      <c r="I17" s="1">
        <v>0.15625</v>
      </c>
      <c r="J17" s="1">
        <v>5</v>
      </c>
      <c r="K17" s="1">
        <v>2002</v>
      </c>
      <c r="L17" s="1"/>
      <c r="M17" s="1">
        <v>0.421875</v>
      </c>
      <c r="N17" s="1">
        <v>0.421875</v>
      </c>
      <c r="O17" s="1">
        <f>(N17-N16)/N16</f>
        <v>19.250000000000032</v>
      </c>
      <c r="P17" s="2">
        <v>37377</v>
      </c>
      <c r="Q17" s="1">
        <v>16</v>
      </c>
      <c r="R17" s="1"/>
    </row>
    <row r="18" spans="1:18" x14ac:dyDescent="0.2">
      <c r="A18" s="3">
        <v>17</v>
      </c>
      <c r="B18" s="2">
        <v>37385</v>
      </c>
      <c r="C18" s="1">
        <v>0.12083124411292399</v>
      </c>
      <c r="D18" s="1">
        <v>0.122198299815257</v>
      </c>
      <c r="E18" s="1">
        <v>192</v>
      </c>
      <c r="F18" s="1">
        <v>30</v>
      </c>
      <c r="G18" s="1">
        <v>28.65203125</v>
      </c>
      <c r="H18" s="1">
        <v>0.15625</v>
      </c>
      <c r="I18" s="1">
        <v>0.14583333333333301</v>
      </c>
      <c r="J18" s="1">
        <v>5</v>
      </c>
      <c r="K18" s="1">
        <v>2002</v>
      </c>
      <c r="L18" s="1"/>
      <c r="M18" s="1">
        <v>0.15625</v>
      </c>
      <c r="N18" s="1">
        <v>0.15625</v>
      </c>
      <c r="O18" s="1">
        <f>(N18-N17)/N17</f>
        <v>-0.62962962962962965</v>
      </c>
      <c r="P18" s="2">
        <v>37385</v>
      </c>
      <c r="Q18" s="1">
        <v>17</v>
      </c>
      <c r="R18" s="1"/>
    </row>
    <row r="19" spans="1:18" x14ac:dyDescent="0.2">
      <c r="A19" s="3">
        <v>18</v>
      </c>
      <c r="B19" s="2">
        <v>37393</v>
      </c>
      <c r="C19" s="1">
        <v>0.14644007012248</v>
      </c>
      <c r="D19" s="1">
        <v>0.149824271599452</v>
      </c>
      <c r="E19" s="1">
        <v>192</v>
      </c>
      <c r="F19" s="1">
        <v>28</v>
      </c>
      <c r="G19" s="1">
        <v>28.676848958333299</v>
      </c>
      <c r="H19" s="1">
        <v>0.14583333333333301</v>
      </c>
      <c r="I19" s="1">
        <v>0.609375</v>
      </c>
      <c r="J19" s="1">
        <v>5</v>
      </c>
      <c r="K19" s="1">
        <v>2002</v>
      </c>
      <c r="L19" s="1"/>
      <c r="M19" s="1">
        <v>0.14583333333333301</v>
      </c>
      <c r="N19" s="1">
        <v>0.14583333333333301</v>
      </c>
      <c r="O19" s="1">
        <f>(N19-N18)/N18</f>
        <v>-6.6666666666668734E-2</v>
      </c>
      <c r="P19" s="2">
        <v>37393</v>
      </c>
      <c r="Q19" s="1">
        <v>18</v>
      </c>
      <c r="R19" s="1"/>
    </row>
    <row r="20" spans="1:18" x14ac:dyDescent="0.2">
      <c r="A20" s="3">
        <v>19</v>
      </c>
      <c r="B20" s="6">
        <v>37401</v>
      </c>
      <c r="C20" s="1">
        <v>0.158006338722254</v>
      </c>
      <c r="D20" s="1">
        <v>0.14965662360191301</v>
      </c>
      <c r="E20" s="1">
        <v>192</v>
      </c>
      <c r="F20" s="1">
        <v>117</v>
      </c>
      <c r="G20" s="1">
        <v>28.603828125</v>
      </c>
      <c r="H20" s="1">
        <v>0.609375</v>
      </c>
      <c r="I20" s="1">
        <v>0.77604166666666696</v>
      </c>
      <c r="J20" s="1">
        <v>5</v>
      </c>
      <c r="K20" s="1">
        <v>2002</v>
      </c>
      <c r="L20" s="1">
        <v>0.609375</v>
      </c>
      <c r="N20" s="1">
        <v>0.609375</v>
      </c>
      <c r="O20" s="7">
        <f>(N20-N19)/N19</f>
        <v>3.1785714285714377</v>
      </c>
      <c r="P20" s="6">
        <v>37401</v>
      </c>
      <c r="Q20" s="1">
        <v>19</v>
      </c>
      <c r="R20" s="1"/>
    </row>
    <row r="21" spans="1:18" x14ac:dyDescent="0.2">
      <c r="A21" s="3">
        <v>20</v>
      </c>
      <c r="B21" s="2">
        <v>37409</v>
      </c>
      <c r="C21" s="1">
        <v>0.16102437764406199</v>
      </c>
      <c r="D21" s="1">
        <v>0.17683977484703101</v>
      </c>
      <c r="E21" s="1">
        <v>192</v>
      </c>
      <c r="F21" s="1">
        <v>149</v>
      </c>
      <c r="G21" s="1">
        <v>27.876822916666701</v>
      </c>
      <c r="H21" s="1">
        <v>0.77604166666666696</v>
      </c>
      <c r="I21" s="1">
        <v>0.96875</v>
      </c>
      <c r="J21" s="1">
        <v>6</v>
      </c>
      <c r="K21" s="1">
        <v>2002</v>
      </c>
      <c r="L21" s="1">
        <v>0.77604166666666696</v>
      </c>
      <c r="N21" s="1">
        <v>0.77604166666666696</v>
      </c>
      <c r="O21" s="1">
        <f>(N21-N20)/N20</f>
        <v>0.27350427350427398</v>
      </c>
      <c r="P21" s="2">
        <v>37409</v>
      </c>
      <c r="Q21" s="1">
        <v>20</v>
      </c>
      <c r="R21" s="1"/>
    </row>
    <row r="22" spans="1:18" x14ac:dyDescent="0.2">
      <c r="A22" s="3">
        <v>21</v>
      </c>
      <c r="B22" s="2">
        <v>37417</v>
      </c>
      <c r="C22" s="1">
        <v>0.25861832574009902</v>
      </c>
      <c r="D22" s="1" t="s">
        <v>0</v>
      </c>
      <c r="E22" s="1">
        <v>192</v>
      </c>
      <c r="F22" s="1">
        <v>186</v>
      </c>
      <c r="G22" s="1">
        <v>26.923437499999999</v>
      </c>
      <c r="H22" s="1">
        <v>0.96875</v>
      </c>
      <c r="I22" s="1">
        <v>0.89583333333333304</v>
      </c>
      <c r="J22" s="1">
        <v>6</v>
      </c>
      <c r="K22" s="1">
        <v>2002</v>
      </c>
      <c r="L22" s="1">
        <v>0.96875</v>
      </c>
      <c r="N22" s="1">
        <v>0.96875</v>
      </c>
      <c r="O22" s="1">
        <f>(N22-N21)/N21</f>
        <v>0.24832214765100624</v>
      </c>
      <c r="P22" s="2">
        <v>37417</v>
      </c>
      <c r="Q22" s="1">
        <v>21</v>
      </c>
      <c r="R22" s="1"/>
    </row>
    <row r="23" spans="1:18" x14ac:dyDescent="0.2">
      <c r="A23" s="3">
        <v>22</v>
      </c>
      <c r="B23" s="2">
        <v>37425</v>
      </c>
      <c r="C23" s="1">
        <v>0.255706792047038</v>
      </c>
      <c r="D23" s="1">
        <v>0.25154017160336201</v>
      </c>
      <c r="E23" s="1">
        <v>192</v>
      </c>
      <c r="F23" s="1">
        <v>172</v>
      </c>
      <c r="G23" s="1">
        <v>26.290156249999999</v>
      </c>
      <c r="H23" s="1">
        <v>0.89583333333333304</v>
      </c>
      <c r="I23" s="1">
        <v>0.72649572649572702</v>
      </c>
      <c r="J23" s="1">
        <v>6</v>
      </c>
      <c r="K23" s="1">
        <v>2002</v>
      </c>
      <c r="L23" s="1">
        <v>0.89583333333333304</v>
      </c>
      <c r="N23" s="1">
        <v>0.89583333333333304</v>
      </c>
      <c r="O23" s="1">
        <f>(N23-N22)/N22</f>
        <v>-7.5268817204301383E-2</v>
      </c>
      <c r="P23" s="2">
        <v>37425</v>
      </c>
      <c r="Q23" s="1">
        <v>22</v>
      </c>
      <c r="R23" s="1"/>
    </row>
    <row r="24" spans="1:18" x14ac:dyDescent="0.2">
      <c r="A24" s="3">
        <v>23</v>
      </c>
      <c r="B24" s="2">
        <v>37433</v>
      </c>
      <c r="C24" s="1">
        <v>0.22623782961657601</v>
      </c>
      <c r="D24" s="1">
        <v>0.231533000866572</v>
      </c>
      <c r="E24" s="1">
        <v>187.2</v>
      </c>
      <c r="F24" s="1">
        <v>136</v>
      </c>
      <c r="G24" s="1">
        <v>25.717239583333299</v>
      </c>
      <c r="H24" s="1">
        <v>0.72649572649572702</v>
      </c>
      <c r="I24" s="1">
        <v>0.89863663307646702</v>
      </c>
      <c r="J24" s="1">
        <v>6</v>
      </c>
      <c r="K24" s="1">
        <v>2002</v>
      </c>
      <c r="L24" s="1">
        <v>0.72649572649572702</v>
      </c>
      <c r="N24" s="1">
        <v>0.72649572649572702</v>
      </c>
      <c r="O24" s="1">
        <f>(N24-N23)/N23</f>
        <v>-0.1890280262373277</v>
      </c>
      <c r="P24" s="2">
        <v>37433</v>
      </c>
      <c r="Q24" s="1">
        <v>23</v>
      </c>
      <c r="R24" s="1"/>
    </row>
    <row r="25" spans="1:18" x14ac:dyDescent="0.2">
      <c r="A25" s="3">
        <v>24</v>
      </c>
      <c r="B25" s="2">
        <v>37441</v>
      </c>
      <c r="C25" s="1">
        <v>0.225006418302655</v>
      </c>
      <c r="D25" s="1">
        <v>0.20454993595679599</v>
      </c>
      <c r="E25" s="1">
        <v>168.7</v>
      </c>
      <c r="F25" s="1">
        <v>151.6</v>
      </c>
      <c r="G25" s="1">
        <v>25.756979166666699</v>
      </c>
      <c r="H25" s="1">
        <v>0.89863663307646702</v>
      </c>
      <c r="I25" s="1">
        <v>0.56994818652849699</v>
      </c>
      <c r="J25" s="1">
        <v>7</v>
      </c>
      <c r="K25" s="1">
        <v>2002</v>
      </c>
      <c r="L25" s="1">
        <v>0.89863663307646702</v>
      </c>
      <c r="N25" s="1">
        <v>0.89863663307646702</v>
      </c>
      <c r="O25" s="1">
        <f>(N25-N24)/N24</f>
        <v>0.23694689494054783</v>
      </c>
      <c r="P25" s="2">
        <v>37441</v>
      </c>
      <c r="Q25" s="1">
        <v>24</v>
      </c>
      <c r="R25" s="1"/>
    </row>
    <row r="26" spans="1:18" x14ac:dyDescent="0.2">
      <c r="A26" s="3">
        <v>25</v>
      </c>
      <c r="B26" s="6">
        <v>37449</v>
      </c>
      <c r="C26" s="1">
        <v>0.231802769402075</v>
      </c>
      <c r="D26" s="1">
        <v>0.232708245515823</v>
      </c>
      <c r="E26" s="1">
        <v>154.4</v>
      </c>
      <c r="F26" s="1">
        <v>88</v>
      </c>
      <c r="G26" s="1">
        <v>25.9183072916667</v>
      </c>
      <c r="H26" s="1">
        <v>0.56994818652849699</v>
      </c>
      <c r="I26" s="1">
        <v>0.26229508196721302</v>
      </c>
      <c r="J26" s="1">
        <v>7</v>
      </c>
      <c r="K26" s="1">
        <v>2002</v>
      </c>
      <c r="L26" s="1">
        <v>0.56994818652849699</v>
      </c>
      <c r="N26" s="1">
        <v>0.56994818652849699</v>
      </c>
      <c r="O26" s="1">
        <f>(N26-N25)/N25</f>
        <v>-0.36576346261637566</v>
      </c>
      <c r="P26" s="6">
        <v>37449</v>
      </c>
      <c r="Q26" s="1">
        <v>25</v>
      </c>
      <c r="R26" s="1"/>
    </row>
    <row r="27" spans="1:18" x14ac:dyDescent="0.2">
      <c r="A27" s="3">
        <v>26</v>
      </c>
      <c r="B27" s="2">
        <v>37457</v>
      </c>
      <c r="C27" s="1">
        <v>0.21573149909575801</v>
      </c>
      <c r="D27" s="1">
        <v>0.219227574765682</v>
      </c>
      <c r="E27" s="1">
        <v>183</v>
      </c>
      <c r="F27" s="1">
        <v>48</v>
      </c>
      <c r="G27" s="1">
        <v>26.121510416666698</v>
      </c>
      <c r="H27" s="1">
        <v>0.26229508196721302</v>
      </c>
      <c r="I27" s="1">
        <v>0.28645833333333298</v>
      </c>
      <c r="J27" s="1">
        <v>7</v>
      </c>
      <c r="K27" s="1">
        <v>2002</v>
      </c>
      <c r="L27" s="1"/>
      <c r="M27" s="1">
        <v>0.26229508196721302</v>
      </c>
      <c r="N27" s="1">
        <v>0.26229508196721302</v>
      </c>
      <c r="O27" s="7">
        <f>(N27-N26)/N26</f>
        <v>-0.53979135618479868</v>
      </c>
      <c r="P27" s="2">
        <v>37457</v>
      </c>
      <c r="Q27" s="1">
        <v>26</v>
      </c>
      <c r="R27" s="1"/>
    </row>
    <row r="28" spans="1:18" x14ac:dyDescent="0.2">
      <c r="A28" s="3">
        <v>27</v>
      </c>
      <c r="B28" s="2">
        <v>37465</v>
      </c>
      <c r="C28" s="1">
        <v>0.185458895000743</v>
      </c>
      <c r="D28" s="1">
        <v>0.18425521006186801</v>
      </c>
      <c r="E28" s="1">
        <v>192</v>
      </c>
      <c r="F28" s="1">
        <v>55</v>
      </c>
      <c r="G28" s="1">
        <v>25.862213541666701</v>
      </c>
      <c r="H28" s="1">
        <v>0.28645833333333298</v>
      </c>
      <c r="I28" s="1">
        <v>0.397170837867247</v>
      </c>
      <c r="J28" s="1">
        <v>7</v>
      </c>
      <c r="K28" s="1">
        <v>2002</v>
      </c>
      <c r="L28" s="1"/>
      <c r="M28" s="1">
        <v>0.28645833333333298</v>
      </c>
      <c r="N28" s="1">
        <v>0.28645833333333298</v>
      </c>
      <c r="O28" s="1">
        <f>(N28-N27)/N27</f>
        <v>9.2122395833332399E-2</v>
      </c>
      <c r="P28" s="2">
        <v>37465</v>
      </c>
      <c r="Q28" s="1">
        <v>27</v>
      </c>
      <c r="R28" s="1"/>
    </row>
    <row r="29" spans="1:18" x14ac:dyDescent="0.2">
      <c r="A29" s="3">
        <v>28</v>
      </c>
      <c r="B29" s="2">
        <v>37473</v>
      </c>
      <c r="C29" s="1">
        <v>0.18605281412601499</v>
      </c>
      <c r="D29" s="1">
        <v>0.20237179597218799</v>
      </c>
      <c r="E29" s="1">
        <v>183.8</v>
      </c>
      <c r="F29" s="1">
        <v>73</v>
      </c>
      <c r="G29" s="1">
        <v>26.154739583333299</v>
      </c>
      <c r="H29" s="1">
        <v>0.397170837867247</v>
      </c>
      <c r="I29" s="1">
        <v>0.67398119122257005</v>
      </c>
      <c r="J29" s="1">
        <v>8</v>
      </c>
      <c r="K29" s="1">
        <v>2002</v>
      </c>
      <c r="L29" s="1"/>
      <c r="M29" s="1">
        <v>0.397170837867247</v>
      </c>
      <c r="N29" s="1">
        <v>0.397170837867247</v>
      </c>
      <c r="O29" s="1">
        <f>(N29-N28)/N28</f>
        <v>0.38648728855475484</v>
      </c>
      <c r="P29" s="2">
        <v>37473</v>
      </c>
      <c r="Q29" s="1">
        <v>28</v>
      </c>
      <c r="R29" s="1"/>
    </row>
    <row r="30" spans="1:18" x14ac:dyDescent="0.2">
      <c r="A30" s="3">
        <v>29</v>
      </c>
      <c r="B30" s="6">
        <v>37481</v>
      </c>
      <c r="C30" s="1">
        <v>0.19663288607830001</v>
      </c>
      <c r="D30" s="1">
        <v>0.18370354920625701</v>
      </c>
      <c r="E30" s="1">
        <v>191.4</v>
      </c>
      <c r="F30" s="1">
        <v>129</v>
      </c>
      <c r="G30" s="1">
        <v>26.111562500000002</v>
      </c>
      <c r="H30" s="1">
        <v>0.67398119122257005</v>
      </c>
      <c r="I30" s="1">
        <v>0.81005586592178802</v>
      </c>
      <c r="J30" s="1">
        <v>8</v>
      </c>
      <c r="K30" s="1">
        <v>2002</v>
      </c>
      <c r="L30" s="1">
        <v>0.67398119122257005</v>
      </c>
      <c r="N30" s="1">
        <v>0.67398119122257005</v>
      </c>
      <c r="O30" s="7">
        <f>(N30-N29)/N29</f>
        <v>0.69695538283162162</v>
      </c>
      <c r="P30" s="6">
        <v>37481</v>
      </c>
      <c r="Q30" s="1">
        <v>29</v>
      </c>
      <c r="R30" s="1"/>
    </row>
    <row r="31" spans="1:18" x14ac:dyDescent="0.2">
      <c r="A31" s="3">
        <v>30</v>
      </c>
      <c r="B31" s="2">
        <v>37489</v>
      </c>
      <c r="C31" s="1">
        <v>0.22914132871665099</v>
      </c>
      <c r="D31" s="1">
        <v>0.22144265472888899</v>
      </c>
      <c r="E31" s="1">
        <v>179</v>
      </c>
      <c r="F31" s="1">
        <v>145</v>
      </c>
      <c r="G31" s="1">
        <v>26.485260416666701</v>
      </c>
      <c r="H31" s="1">
        <v>0.81005586592178802</v>
      </c>
      <c r="I31" s="1">
        <v>0.984375</v>
      </c>
      <c r="J31" s="1">
        <v>8</v>
      </c>
      <c r="K31" s="1">
        <v>2002</v>
      </c>
      <c r="L31" s="1">
        <v>0.81005586592178802</v>
      </c>
      <c r="N31" s="1">
        <v>0.81005586592178802</v>
      </c>
      <c r="O31" s="1">
        <f>(N31-N30)/N30</f>
        <v>0.20189684292581658</v>
      </c>
      <c r="P31" s="2">
        <v>37489</v>
      </c>
      <c r="Q31" s="1">
        <v>30</v>
      </c>
      <c r="R31" s="1"/>
    </row>
    <row r="32" spans="1:18" x14ac:dyDescent="0.2">
      <c r="A32" s="3">
        <v>31</v>
      </c>
      <c r="B32" s="2">
        <v>37497</v>
      </c>
      <c r="C32" s="1">
        <v>0.22274025434615599</v>
      </c>
      <c r="D32" s="1">
        <v>0.198451754947503</v>
      </c>
      <c r="E32" s="1">
        <v>192</v>
      </c>
      <c r="F32" s="1">
        <v>189</v>
      </c>
      <c r="G32" s="1">
        <v>26.9078645833333</v>
      </c>
      <c r="H32" s="1">
        <v>0.984375</v>
      </c>
      <c r="I32" s="1">
        <v>0.99479166666666696</v>
      </c>
      <c r="J32" s="1">
        <v>8</v>
      </c>
      <c r="K32" s="1">
        <v>2002</v>
      </c>
      <c r="L32" s="1">
        <v>0.984375</v>
      </c>
      <c r="N32" s="1">
        <v>0.984375</v>
      </c>
      <c r="O32" s="1">
        <f>(N32-N31)/N31</f>
        <v>0.2151939655172409</v>
      </c>
      <c r="P32" s="2">
        <v>37497</v>
      </c>
      <c r="Q32" s="1">
        <v>31</v>
      </c>
      <c r="R32" s="1"/>
    </row>
    <row r="33" spans="1:18" x14ac:dyDescent="0.2">
      <c r="A33" s="3">
        <v>32</v>
      </c>
      <c r="B33" s="2">
        <v>37505</v>
      </c>
      <c r="C33" s="1">
        <v>0.204439920571543</v>
      </c>
      <c r="D33" s="1">
        <v>0.189923450350761</v>
      </c>
      <c r="E33" s="1">
        <v>192</v>
      </c>
      <c r="F33" s="1">
        <v>191</v>
      </c>
      <c r="G33" s="1">
        <v>27.290781249999998</v>
      </c>
      <c r="H33" s="1">
        <v>0.99479166666666696</v>
      </c>
      <c r="I33" s="1">
        <v>0.88541666666666696</v>
      </c>
      <c r="J33" s="1">
        <v>9</v>
      </c>
      <c r="K33" s="1">
        <v>2002</v>
      </c>
      <c r="L33" s="1">
        <v>0.99479166666666696</v>
      </c>
      <c r="N33" s="1">
        <v>0.99479166666666696</v>
      </c>
      <c r="O33" s="1">
        <f>(N33-N32)/N32</f>
        <v>1.0582010582010883E-2</v>
      </c>
      <c r="P33" s="2">
        <v>37505</v>
      </c>
      <c r="Q33" s="1">
        <v>32</v>
      </c>
      <c r="R33" s="1"/>
    </row>
    <row r="34" spans="1:18" x14ac:dyDescent="0.2">
      <c r="A34" s="3">
        <v>33</v>
      </c>
      <c r="B34" s="6">
        <v>37513</v>
      </c>
      <c r="C34" s="1">
        <v>0.118805776270373</v>
      </c>
      <c r="D34" s="1">
        <v>0.114585900306702</v>
      </c>
      <c r="E34" s="1">
        <v>192</v>
      </c>
      <c r="F34" s="1">
        <v>170</v>
      </c>
      <c r="G34" s="1">
        <v>27.8066666666667</v>
      </c>
      <c r="H34" s="1">
        <v>0.88541666666666696</v>
      </c>
      <c r="I34" s="1">
        <v>0.20220588235294101</v>
      </c>
      <c r="J34" s="1">
        <v>9</v>
      </c>
      <c r="K34" s="1">
        <v>2002</v>
      </c>
      <c r="L34" s="1">
        <v>0.88541666666666696</v>
      </c>
      <c r="N34" s="1">
        <v>0.88541666666666696</v>
      </c>
      <c r="O34" s="1">
        <f>(N34-N33)/N33</f>
        <v>-0.10994764397905755</v>
      </c>
      <c r="P34" s="6">
        <v>37513</v>
      </c>
      <c r="Q34" s="1">
        <v>33</v>
      </c>
      <c r="R34" s="1"/>
    </row>
    <row r="35" spans="1:18" x14ac:dyDescent="0.2">
      <c r="A35" s="3">
        <v>34</v>
      </c>
      <c r="B35" s="2">
        <v>37521</v>
      </c>
      <c r="C35" s="1">
        <v>0.14244066028354299</v>
      </c>
      <c r="D35" s="1">
        <v>0.119893601164222</v>
      </c>
      <c r="E35" s="1">
        <v>108.8</v>
      </c>
      <c r="F35" s="1">
        <v>22</v>
      </c>
      <c r="G35" s="1">
        <v>28.063932291666699</v>
      </c>
      <c r="H35" s="1">
        <v>0.20220588235294101</v>
      </c>
      <c r="I35" s="1">
        <v>0.25</v>
      </c>
      <c r="J35" s="1">
        <v>9</v>
      </c>
      <c r="K35" s="1">
        <v>2002</v>
      </c>
      <c r="L35" s="1"/>
      <c r="M35" s="1">
        <v>0.20220588235294101</v>
      </c>
      <c r="N35" s="1">
        <v>0.20220588235294101</v>
      </c>
      <c r="O35" s="7">
        <f>(N35-N34)/N34</f>
        <v>-0.77162629757785495</v>
      </c>
      <c r="P35" s="2">
        <v>37521</v>
      </c>
      <c r="Q35" s="1">
        <v>34</v>
      </c>
      <c r="R35" s="1"/>
    </row>
    <row r="36" spans="1:18" x14ac:dyDescent="0.2">
      <c r="A36" s="3">
        <v>35</v>
      </c>
      <c r="B36" s="2">
        <v>37529</v>
      </c>
      <c r="C36" s="1">
        <v>0.120960839307137</v>
      </c>
      <c r="D36" s="1">
        <v>0.122214578092098</v>
      </c>
      <c r="E36" s="1">
        <v>192</v>
      </c>
      <c r="F36" s="1">
        <v>48</v>
      </c>
      <c r="G36" s="1">
        <v>28.172968749999999</v>
      </c>
      <c r="H36" s="1">
        <v>0.25</v>
      </c>
      <c r="I36" s="1">
        <v>0.265625</v>
      </c>
      <c r="J36" s="1">
        <v>9</v>
      </c>
      <c r="K36" s="1">
        <v>2002</v>
      </c>
      <c r="L36" s="1"/>
      <c r="M36" s="1">
        <v>0.25</v>
      </c>
      <c r="N36" s="1">
        <v>0.25</v>
      </c>
      <c r="O36" s="1">
        <f>(N36-N35)/N35</f>
        <v>0.23636363636363736</v>
      </c>
      <c r="P36" s="2">
        <v>37529</v>
      </c>
      <c r="Q36" s="1">
        <v>35</v>
      </c>
      <c r="R36" s="1"/>
    </row>
    <row r="37" spans="1:18" x14ac:dyDescent="0.2">
      <c r="A37" s="3">
        <v>36</v>
      </c>
      <c r="B37" s="2">
        <v>37537</v>
      </c>
      <c r="C37" s="1">
        <v>0.111466305874861</v>
      </c>
      <c r="D37" s="1">
        <v>9.7779912253220899E-2</v>
      </c>
      <c r="E37" s="1">
        <v>192</v>
      </c>
      <c r="F37" s="1">
        <v>51</v>
      </c>
      <c r="G37" s="1">
        <v>28.294791666666701</v>
      </c>
      <c r="H37" s="1">
        <v>0.265625</v>
      </c>
      <c r="I37" s="1">
        <v>0.58333333333333304</v>
      </c>
      <c r="J37" s="1">
        <v>10</v>
      </c>
      <c r="K37" s="1">
        <v>2002</v>
      </c>
      <c r="L37" s="1"/>
      <c r="M37" s="1">
        <v>0.265625</v>
      </c>
      <c r="N37" s="1">
        <v>0.265625</v>
      </c>
      <c r="O37" s="1">
        <f>(N37-N36)/N36</f>
        <v>6.25E-2</v>
      </c>
      <c r="P37" s="2">
        <v>37537</v>
      </c>
      <c r="Q37" s="1">
        <v>36</v>
      </c>
      <c r="R37" s="1"/>
    </row>
    <row r="38" spans="1:18" x14ac:dyDescent="0.2">
      <c r="A38" s="3">
        <v>37</v>
      </c>
      <c r="B38" s="2">
        <v>37545</v>
      </c>
      <c r="C38" s="1">
        <v>0.13276756703853601</v>
      </c>
      <c r="D38" s="1">
        <v>0.120540787776311</v>
      </c>
      <c r="E38" s="1">
        <v>192</v>
      </c>
      <c r="F38" s="1">
        <v>112</v>
      </c>
      <c r="G38" s="1">
        <v>28.387317708333299</v>
      </c>
      <c r="H38" s="1">
        <v>0.58333333333333304</v>
      </c>
      <c r="I38" s="1">
        <v>0.40625</v>
      </c>
      <c r="J38" s="1">
        <v>10</v>
      </c>
      <c r="K38" s="1">
        <v>2002</v>
      </c>
      <c r="L38" s="1"/>
      <c r="M38" s="1">
        <v>0.58333333333333304</v>
      </c>
      <c r="N38" s="1">
        <v>0.58333333333333304</v>
      </c>
      <c r="O38" s="1">
        <f>(N38-N37)/N37</f>
        <v>1.1960784313725479</v>
      </c>
      <c r="P38" s="2">
        <v>37545</v>
      </c>
      <c r="Q38" s="1">
        <v>37</v>
      </c>
      <c r="R38" s="1"/>
    </row>
    <row r="39" spans="1:18" x14ac:dyDescent="0.2">
      <c r="A39" s="3">
        <v>38</v>
      </c>
      <c r="B39" s="2">
        <v>37553</v>
      </c>
      <c r="C39" s="1">
        <v>0.14742247449855</v>
      </c>
      <c r="D39" s="1">
        <v>0.136511720716953</v>
      </c>
      <c r="E39" s="1">
        <v>192</v>
      </c>
      <c r="F39" s="1">
        <v>78</v>
      </c>
      <c r="G39" s="1">
        <v>28.3896614583333</v>
      </c>
      <c r="H39" s="1">
        <v>0.40625</v>
      </c>
      <c r="I39" s="1">
        <v>0.35170603674540701</v>
      </c>
      <c r="J39" s="1">
        <v>10</v>
      </c>
      <c r="K39" s="1">
        <v>2002</v>
      </c>
      <c r="L39" s="1"/>
      <c r="M39" s="1">
        <v>0.40625</v>
      </c>
      <c r="N39" s="1">
        <v>0.40625</v>
      </c>
      <c r="O39" s="1">
        <f>(N39-N38)/N38</f>
        <v>-0.30357142857142821</v>
      </c>
      <c r="P39" s="2">
        <v>37553</v>
      </c>
      <c r="Q39" s="1">
        <v>38</v>
      </c>
      <c r="R39" s="1"/>
    </row>
    <row r="40" spans="1:18" x14ac:dyDescent="0.2">
      <c r="A40" s="3">
        <v>39</v>
      </c>
      <c r="B40" s="2">
        <v>37561</v>
      </c>
      <c r="C40" s="1">
        <v>0.140197459338368</v>
      </c>
      <c r="D40" s="1">
        <v>0.13192431628704099</v>
      </c>
      <c r="E40" s="1">
        <v>190.5</v>
      </c>
      <c r="F40" s="1">
        <v>67</v>
      </c>
      <c r="G40" s="1">
        <v>28.4106510416667</v>
      </c>
      <c r="H40" s="1">
        <v>0.35170603674540701</v>
      </c>
      <c r="I40" s="1">
        <v>0.48851774530271402</v>
      </c>
      <c r="J40" s="1">
        <v>11</v>
      </c>
      <c r="K40" s="1">
        <v>2002</v>
      </c>
      <c r="L40" s="1"/>
      <c r="M40" s="1">
        <v>0.35170603674540701</v>
      </c>
      <c r="N40" s="1">
        <v>0.35170603674540701</v>
      </c>
      <c r="O40" s="1">
        <f>(N40-N39)/N39</f>
        <v>-0.1342620633959212</v>
      </c>
      <c r="P40" s="2">
        <v>37561</v>
      </c>
      <c r="Q40" s="1">
        <v>39</v>
      </c>
      <c r="R40" s="1"/>
    </row>
    <row r="41" spans="1:18" x14ac:dyDescent="0.2">
      <c r="A41" s="3">
        <v>40</v>
      </c>
      <c r="B41" s="2">
        <v>37569</v>
      </c>
      <c r="C41" s="1">
        <v>0.116100725318704</v>
      </c>
      <c r="D41" s="1">
        <v>0.13735208287835099</v>
      </c>
      <c r="E41" s="1">
        <v>191.6</v>
      </c>
      <c r="F41" s="1">
        <v>93.6</v>
      </c>
      <c r="G41" s="1">
        <v>28.587265625000001</v>
      </c>
      <c r="H41" s="1">
        <v>0.48851774530271402</v>
      </c>
      <c r="I41" s="1">
        <v>0.140625</v>
      </c>
      <c r="J41" s="1">
        <v>11</v>
      </c>
      <c r="K41" s="1">
        <v>2002</v>
      </c>
      <c r="L41" s="1"/>
      <c r="M41" s="1">
        <v>0.48851774530271402</v>
      </c>
      <c r="N41" s="1">
        <v>0.48851774530271402</v>
      </c>
      <c r="O41" s="1">
        <f>(N41-N40)/N40</f>
        <v>0.38899448477861154</v>
      </c>
      <c r="P41" s="2">
        <v>37569</v>
      </c>
      <c r="Q41" s="1">
        <v>40</v>
      </c>
      <c r="R41" s="1"/>
    </row>
    <row r="42" spans="1:18" x14ac:dyDescent="0.2">
      <c r="A42" s="3">
        <v>41</v>
      </c>
      <c r="B42" s="2">
        <v>37577</v>
      </c>
      <c r="C42" s="1">
        <v>0.13190023336145601</v>
      </c>
      <c r="D42" s="1" t="s">
        <v>0</v>
      </c>
      <c r="E42" s="1">
        <v>192</v>
      </c>
      <c r="F42" s="1">
        <v>27</v>
      </c>
      <c r="G42" s="1">
        <v>28.570703125000001</v>
      </c>
      <c r="H42" s="1">
        <v>0.140625</v>
      </c>
      <c r="I42" s="1">
        <v>3.7353255069370303E-2</v>
      </c>
      <c r="J42" s="1">
        <v>11</v>
      </c>
      <c r="K42" s="1">
        <v>2002</v>
      </c>
      <c r="L42" s="1"/>
      <c r="M42" s="1">
        <v>0.140625</v>
      </c>
      <c r="N42" s="1">
        <v>0.140625</v>
      </c>
      <c r="O42" s="1">
        <f>(N42-N41)/N41</f>
        <v>-0.71213942307692313</v>
      </c>
      <c r="P42" s="2">
        <v>37577</v>
      </c>
      <c r="Q42" s="1">
        <v>41</v>
      </c>
      <c r="R42" s="1"/>
    </row>
    <row r="43" spans="1:18" x14ac:dyDescent="0.2">
      <c r="A43" s="3">
        <v>42</v>
      </c>
      <c r="B43" s="2">
        <v>37585</v>
      </c>
      <c r="C43" s="1">
        <v>0.119124366157859</v>
      </c>
      <c r="D43" s="1">
        <v>0.10394753639896701</v>
      </c>
      <c r="E43" s="1">
        <v>187.4</v>
      </c>
      <c r="F43" s="1">
        <v>7</v>
      </c>
      <c r="G43" s="1">
        <v>28.872942708333301</v>
      </c>
      <c r="H43" s="1">
        <v>3.7353255069370303E-2</v>
      </c>
      <c r="I43" s="1">
        <v>0.40667361835244997</v>
      </c>
      <c r="J43" s="1">
        <v>11</v>
      </c>
      <c r="K43" s="1">
        <v>2002</v>
      </c>
      <c r="L43" s="1"/>
      <c r="M43" s="1">
        <v>3.7353255069370303E-2</v>
      </c>
      <c r="N43" s="1">
        <v>3.7353255069370303E-2</v>
      </c>
      <c r="O43" s="1">
        <f>(N43-N42)/N42</f>
        <v>-0.7343768528400334</v>
      </c>
      <c r="P43" s="2">
        <v>37585</v>
      </c>
      <c r="Q43" s="1">
        <v>42</v>
      </c>
      <c r="R43" s="1"/>
    </row>
    <row r="44" spans="1:18" x14ac:dyDescent="0.2">
      <c r="A44" s="3">
        <v>43</v>
      </c>
      <c r="B44" s="2">
        <v>37593</v>
      </c>
      <c r="C44" s="1">
        <v>0.118201382413055</v>
      </c>
      <c r="D44" s="1">
        <v>0.115172440807025</v>
      </c>
      <c r="E44" s="1">
        <v>191.8</v>
      </c>
      <c r="F44" s="1">
        <v>78</v>
      </c>
      <c r="G44" s="1">
        <v>28.955911458333301</v>
      </c>
      <c r="H44" s="1">
        <v>0.40667361835244997</v>
      </c>
      <c r="I44" s="1">
        <v>3.6458333333333301E-2</v>
      </c>
      <c r="J44" s="1">
        <v>12</v>
      </c>
      <c r="K44" s="1">
        <v>2002</v>
      </c>
      <c r="L44" s="1"/>
      <c r="M44" s="1">
        <v>0.40667361835244997</v>
      </c>
      <c r="N44" s="1">
        <v>0.40667361835244997</v>
      </c>
      <c r="O44" s="1">
        <f>(N44-N43)/N43</f>
        <v>9.8872337256070253</v>
      </c>
      <c r="P44" s="2">
        <v>37593</v>
      </c>
      <c r="Q44" s="1">
        <v>43</v>
      </c>
      <c r="R44" s="1"/>
    </row>
    <row r="45" spans="1:18" x14ac:dyDescent="0.2">
      <c r="A45" s="3">
        <v>44</v>
      </c>
      <c r="B45" s="2">
        <v>37601</v>
      </c>
      <c r="C45" s="1">
        <v>7.6710249141136305E-2</v>
      </c>
      <c r="D45" s="1">
        <v>7.5181312859058394E-2</v>
      </c>
      <c r="E45" s="1">
        <v>192</v>
      </c>
      <c r="F45" s="1">
        <v>7</v>
      </c>
      <c r="G45" s="1">
        <v>29.004791666666701</v>
      </c>
      <c r="H45" s="1">
        <v>3.6458333333333301E-2</v>
      </c>
      <c r="I45" s="1">
        <v>0.15104166666666699</v>
      </c>
      <c r="J45" s="1">
        <v>12</v>
      </c>
      <c r="K45" s="1">
        <v>2002</v>
      </c>
      <c r="L45" s="1"/>
      <c r="M45" s="1">
        <v>3.6458333333333301E-2</v>
      </c>
      <c r="N45" s="1">
        <v>3.6458333333333301E-2</v>
      </c>
      <c r="O45" s="1">
        <f>(N45-N44)/N44</f>
        <v>-0.91034989316239312</v>
      </c>
      <c r="P45" s="2">
        <v>37601</v>
      </c>
      <c r="Q45" s="1">
        <v>44</v>
      </c>
      <c r="R45" s="1"/>
    </row>
    <row r="46" spans="1:18" x14ac:dyDescent="0.2">
      <c r="A46" s="3">
        <v>45</v>
      </c>
      <c r="B46" s="2">
        <v>37609</v>
      </c>
      <c r="C46" s="1">
        <v>7.3197676271602896E-2</v>
      </c>
      <c r="D46" s="1">
        <v>7.8131960704922704E-2</v>
      </c>
      <c r="E46" s="1">
        <v>192</v>
      </c>
      <c r="F46" s="1">
        <v>29</v>
      </c>
      <c r="G46" s="1">
        <v>28.917604166666699</v>
      </c>
      <c r="H46" s="1">
        <v>0.15104166666666699</v>
      </c>
      <c r="I46" s="1">
        <v>1.6666666666666701E-2</v>
      </c>
      <c r="J46" s="1">
        <v>12</v>
      </c>
      <c r="K46" s="1">
        <v>2002</v>
      </c>
      <c r="L46" s="1"/>
      <c r="M46" s="1">
        <v>0.15104166666666699</v>
      </c>
      <c r="N46" s="1">
        <v>0.15104166666666699</v>
      </c>
      <c r="O46" s="1">
        <f>(N46-N45)/N45</f>
        <v>3.1428571428571552</v>
      </c>
      <c r="P46" s="2">
        <v>37609</v>
      </c>
      <c r="Q46" s="1">
        <v>45</v>
      </c>
      <c r="R46" s="1"/>
    </row>
    <row r="47" spans="1:18" x14ac:dyDescent="0.2">
      <c r="A47" s="3">
        <v>46</v>
      </c>
      <c r="B47" s="2">
        <v>37617</v>
      </c>
      <c r="C47" s="1">
        <v>7.8575650174942197E-2</v>
      </c>
      <c r="D47" s="1">
        <v>7.6078973710536998E-2</v>
      </c>
      <c r="E47" s="1">
        <v>120</v>
      </c>
      <c r="F47" s="1">
        <v>2</v>
      </c>
      <c r="G47" s="1">
        <v>28.7626666666667</v>
      </c>
      <c r="H47" s="1">
        <v>1.6666666666666701E-2</v>
      </c>
      <c r="I47" s="1">
        <v>5.7273768613974804E-3</v>
      </c>
      <c r="J47" s="1">
        <v>12</v>
      </c>
      <c r="K47" s="1">
        <v>2002</v>
      </c>
      <c r="L47" s="1"/>
      <c r="M47" s="1">
        <v>1.6666666666666701E-2</v>
      </c>
      <c r="N47" s="1">
        <v>1.6666666666666701E-2</v>
      </c>
      <c r="O47" s="1">
        <f>(N47-N46)/N46</f>
        <v>-0.88965517241379322</v>
      </c>
      <c r="P47" s="2">
        <v>37617</v>
      </c>
      <c r="Q47" s="1">
        <v>46</v>
      </c>
      <c r="R47" s="1"/>
    </row>
    <row r="48" spans="1:18" x14ac:dyDescent="0.2">
      <c r="A48" s="3">
        <v>47</v>
      </c>
      <c r="B48" s="2">
        <v>37622</v>
      </c>
      <c r="C48" s="1">
        <v>9.0939682961574606E-2</v>
      </c>
      <c r="D48" s="1">
        <v>0.102344751358032</v>
      </c>
      <c r="E48" s="1">
        <v>174.6</v>
      </c>
      <c r="F48" s="1">
        <v>1</v>
      </c>
      <c r="G48" s="1">
        <v>28.491215277777801</v>
      </c>
      <c r="H48" s="1">
        <v>5.7273768613974804E-3</v>
      </c>
      <c r="I48" s="1">
        <v>0</v>
      </c>
      <c r="J48" s="1">
        <v>1</v>
      </c>
      <c r="K48" s="1">
        <v>2003</v>
      </c>
      <c r="L48" s="1"/>
      <c r="M48" s="1">
        <v>5.7273768613974804E-3</v>
      </c>
      <c r="N48" s="1">
        <v>5.7273768613974804E-3</v>
      </c>
      <c r="O48" s="1">
        <f>(N48-N47)/N47</f>
        <v>-0.65635738831615187</v>
      </c>
      <c r="P48" s="2">
        <v>37622</v>
      </c>
      <c r="Q48" s="1">
        <v>1</v>
      </c>
      <c r="R48" s="1"/>
    </row>
    <row r="49" spans="1:18" x14ac:dyDescent="0.2">
      <c r="A49" s="3">
        <v>48</v>
      </c>
      <c r="B49" s="2">
        <v>37630</v>
      </c>
      <c r="C49" s="1">
        <v>9.0700473992308198E-2</v>
      </c>
      <c r="D49" s="1">
        <v>7.6226255297660805E-2</v>
      </c>
      <c r="E49" s="1">
        <v>176.9</v>
      </c>
      <c r="F49" s="1">
        <v>0</v>
      </c>
      <c r="G49" s="1">
        <v>28.451284722222201</v>
      </c>
      <c r="H49" s="1">
        <v>0</v>
      </c>
      <c r="I49" s="1">
        <v>0</v>
      </c>
      <c r="J49" s="1">
        <v>1</v>
      </c>
      <c r="K49" s="1">
        <v>2003</v>
      </c>
      <c r="L49" s="1"/>
      <c r="M49" s="1">
        <v>1E-3</v>
      </c>
      <c r="N49" s="1">
        <v>1E-3</v>
      </c>
      <c r="O49" s="1">
        <f>(N49-N48)/N48</f>
        <v>-0.82540000000000002</v>
      </c>
      <c r="P49" s="2">
        <v>37630</v>
      </c>
      <c r="Q49" s="1">
        <v>2</v>
      </c>
      <c r="R49" s="1"/>
    </row>
    <row r="50" spans="1:18" x14ac:dyDescent="0.2">
      <c r="A50" s="3">
        <v>49</v>
      </c>
      <c r="B50" s="2">
        <v>37638</v>
      </c>
      <c r="C50" s="1">
        <v>7.9536236403785501E-2</v>
      </c>
      <c r="D50" s="1">
        <v>6.8605487545331301E-2</v>
      </c>
      <c r="E50" s="1">
        <v>185.9</v>
      </c>
      <c r="F50" s="1">
        <v>0</v>
      </c>
      <c r="G50" s="1">
        <v>28.8832465277778</v>
      </c>
      <c r="H50" s="1">
        <v>0</v>
      </c>
      <c r="I50" s="1">
        <v>0</v>
      </c>
      <c r="J50" s="1">
        <v>1</v>
      </c>
      <c r="K50" s="1">
        <v>2003</v>
      </c>
      <c r="L50" s="1"/>
      <c r="M50" s="1">
        <v>1E-3</v>
      </c>
      <c r="N50" s="1">
        <v>1E-3</v>
      </c>
      <c r="O50" s="1">
        <f>(N50-N49)/N49</f>
        <v>0</v>
      </c>
      <c r="P50" s="2">
        <v>37638</v>
      </c>
      <c r="Q50" s="1">
        <v>3</v>
      </c>
      <c r="R50" s="1"/>
    </row>
    <row r="51" spans="1:18" x14ac:dyDescent="0.2">
      <c r="A51" s="3">
        <v>50</v>
      </c>
      <c r="B51" s="2">
        <v>37646</v>
      </c>
      <c r="C51" s="1">
        <v>7.2194977300966606E-2</v>
      </c>
      <c r="D51" s="1">
        <v>6.7131426185369505E-2</v>
      </c>
      <c r="E51" s="1">
        <v>187</v>
      </c>
      <c r="F51" s="1">
        <v>0</v>
      </c>
      <c r="G51" s="1">
        <v>29.362517361111099</v>
      </c>
      <c r="H51" s="1">
        <v>0</v>
      </c>
      <c r="I51" s="1">
        <v>0</v>
      </c>
      <c r="J51" s="1">
        <v>1</v>
      </c>
      <c r="K51" s="1">
        <v>2003</v>
      </c>
      <c r="L51" s="1"/>
      <c r="M51" s="1">
        <v>1E-3</v>
      </c>
      <c r="N51" s="1">
        <v>1E-3</v>
      </c>
      <c r="O51" s="1">
        <f>(N51-N50)/N50</f>
        <v>0</v>
      </c>
      <c r="P51" s="2">
        <v>37646</v>
      </c>
      <c r="Q51" s="1">
        <v>4</v>
      </c>
      <c r="R51" s="1"/>
    </row>
    <row r="52" spans="1:18" x14ac:dyDescent="0.2">
      <c r="A52" s="3">
        <v>51</v>
      </c>
      <c r="B52" s="2">
        <v>37654</v>
      </c>
      <c r="C52" s="1">
        <v>6.88958656615936E-2</v>
      </c>
      <c r="D52" s="1">
        <v>0.11179475486278501</v>
      </c>
      <c r="E52" s="1">
        <v>179.8</v>
      </c>
      <c r="F52" s="1">
        <v>0</v>
      </c>
      <c r="G52" s="1">
        <v>28.854618055555601</v>
      </c>
      <c r="H52" s="1">
        <v>0</v>
      </c>
      <c r="I52" s="1">
        <v>0</v>
      </c>
      <c r="J52" s="1">
        <v>2</v>
      </c>
      <c r="K52" s="1">
        <v>2003</v>
      </c>
      <c r="L52" s="1"/>
      <c r="M52" s="1">
        <v>1E-3</v>
      </c>
      <c r="N52" s="1">
        <v>1E-3</v>
      </c>
      <c r="O52" s="1">
        <f>(N52-N51)/N51</f>
        <v>0</v>
      </c>
      <c r="P52" s="2">
        <v>37654</v>
      </c>
      <c r="Q52" s="1">
        <v>5</v>
      </c>
      <c r="R52" s="1"/>
    </row>
    <row r="53" spans="1:18" x14ac:dyDescent="0.2">
      <c r="A53" s="3">
        <v>52</v>
      </c>
      <c r="B53" s="2">
        <v>37662</v>
      </c>
      <c r="C53" s="1">
        <v>8.6143432240161702E-2</v>
      </c>
      <c r="D53" s="1">
        <v>7.9421042154232693E-2</v>
      </c>
      <c r="E53" s="1">
        <v>192</v>
      </c>
      <c r="F53" s="1">
        <v>0</v>
      </c>
      <c r="G53" s="1">
        <v>29.439843750000001</v>
      </c>
      <c r="H53" s="1">
        <v>0</v>
      </c>
      <c r="I53" s="1">
        <v>0</v>
      </c>
      <c r="J53" s="1">
        <v>2</v>
      </c>
      <c r="K53" s="1">
        <v>2003</v>
      </c>
      <c r="L53" s="1"/>
      <c r="M53" s="1">
        <v>1E-3</v>
      </c>
      <c r="N53" s="1">
        <v>1E-3</v>
      </c>
      <c r="O53" s="1">
        <f>(N53-N52)/N52</f>
        <v>0</v>
      </c>
      <c r="P53" s="2">
        <v>37662</v>
      </c>
      <c r="Q53" s="1">
        <v>6</v>
      </c>
      <c r="R53" s="1"/>
    </row>
    <row r="54" spans="1:18" x14ac:dyDescent="0.2">
      <c r="A54" s="3">
        <v>53</v>
      </c>
      <c r="B54" s="2">
        <v>37670</v>
      </c>
      <c r="C54" s="1">
        <v>7.4955238425923901E-2</v>
      </c>
      <c r="D54" s="1">
        <v>6.8188646187384905E-2</v>
      </c>
      <c r="E54" s="1">
        <v>178.5</v>
      </c>
      <c r="F54" s="1">
        <v>0</v>
      </c>
      <c r="G54" s="1">
        <v>29.026805555555601</v>
      </c>
      <c r="H54" s="1">
        <v>0</v>
      </c>
      <c r="I54" s="1">
        <v>1.0416666666666701E-2</v>
      </c>
      <c r="J54" s="1">
        <v>2</v>
      </c>
      <c r="K54" s="1">
        <v>2003</v>
      </c>
      <c r="L54" s="1"/>
      <c r="M54" s="1">
        <v>1E-3</v>
      </c>
      <c r="N54" s="1">
        <v>1E-3</v>
      </c>
      <c r="O54" s="1">
        <f>(N54-N53)/N53</f>
        <v>0</v>
      </c>
      <c r="P54" s="2">
        <v>37670</v>
      </c>
      <c r="Q54" s="1">
        <v>7</v>
      </c>
      <c r="R54" s="1"/>
    </row>
    <row r="55" spans="1:18" x14ac:dyDescent="0.2">
      <c r="A55" s="3">
        <v>54</v>
      </c>
      <c r="B55" s="2">
        <v>37678</v>
      </c>
      <c r="C55" s="1">
        <v>0.18996096227098899</v>
      </c>
      <c r="D55" s="1" t="s">
        <v>0</v>
      </c>
      <c r="E55" s="1">
        <v>192</v>
      </c>
      <c r="F55" s="1">
        <v>2</v>
      </c>
      <c r="G55" s="1">
        <v>28.443072916666701</v>
      </c>
      <c r="H55" s="1">
        <v>1.0416666666666701E-2</v>
      </c>
      <c r="I55" s="1">
        <v>0</v>
      </c>
      <c r="J55" s="1">
        <v>2</v>
      </c>
      <c r="K55" s="1">
        <v>2003</v>
      </c>
      <c r="L55" s="1"/>
      <c r="M55" s="1">
        <v>1.0416666666666701E-2</v>
      </c>
      <c r="N55" s="1">
        <v>1.0416666666666701E-2</v>
      </c>
      <c r="O55" s="1">
        <f>(N55-N54)/N54</f>
        <v>9.4166666666667016</v>
      </c>
      <c r="P55" s="2">
        <v>37678</v>
      </c>
      <c r="Q55" s="1">
        <v>8</v>
      </c>
      <c r="R55" s="1"/>
    </row>
    <row r="56" spans="1:18" x14ac:dyDescent="0.2">
      <c r="A56" s="3">
        <v>55</v>
      </c>
      <c r="B56" s="2">
        <v>37686</v>
      </c>
      <c r="C56" s="1">
        <v>8.9962051641306204E-2</v>
      </c>
      <c r="D56" s="1">
        <v>8.1557362029949801E-2</v>
      </c>
      <c r="E56" s="1">
        <v>192</v>
      </c>
      <c r="F56" s="1">
        <v>0</v>
      </c>
      <c r="G56" s="1">
        <v>28.8471875</v>
      </c>
      <c r="H56" s="1">
        <v>0</v>
      </c>
      <c r="I56" s="1">
        <v>0</v>
      </c>
      <c r="J56" s="1">
        <v>3</v>
      </c>
      <c r="K56" s="1">
        <v>2003</v>
      </c>
      <c r="L56" s="1"/>
      <c r="M56" s="1">
        <v>1E-3</v>
      </c>
      <c r="N56" s="1">
        <v>1E-3</v>
      </c>
      <c r="O56" s="1">
        <f>(N56-N55)/N55</f>
        <v>-0.90400000000000036</v>
      </c>
      <c r="P56" s="2">
        <v>37686</v>
      </c>
      <c r="Q56" s="1">
        <v>9</v>
      </c>
      <c r="R56" s="1"/>
    </row>
    <row r="57" spans="1:18" x14ac:dyDescent="0.2">
      <c r="A57" s="3">
        <v>56</v>
      </c>
      <c r="B57" s="2">
        <v>37694</v>
      </c>
      <c r="C57" s="1">
        <v>8.7945904724205604E-2</v>
      </c>
      <c r="D57" s="1">
        <v>7.59384594857693E-2</v>
      </c>
      <c r="E57" s="1">
        <v>192</v>
      </c>
      <c r="F57" s="1">
        <v>0</v>
      </c>
      <c r="G57" s="1">
        <v>29.065052083333299</v>
      </c>
      <c r="H57" s="1">
        <v>0</v>
      </c>
      <c r="I57" s="1">
        <v>5.2110474205315296E-3</v>
      </c>
      <c r="J57" s="1">
        <v>3</v>
      </c>
      <c r="K57" s="1">
        <v>2003</v>
      </c>
      <c r="L57" s="1"/>
      <c r="M57" s="1">
        <v>1E-3</v>
      </c>
      <c r="N57" s="1">
        <v>1E-3</v>
      </c>
      <c r="O57" s="1">
        <f>(N57-N56)/N56</f>
        <v>0</v>
      </c>
      <c r="P57" s="2">
        <v>37694</v>
      </c>
      <c r="Q57" s="1">
        <v>10</v>
      </c>
      <c r="R57" s="1"/>
    </row>
    <row r="58" spans="1:18" x14ac:dyDescent="0.2">
      <c r="A58" s="3">
        <v>57</v>
      </c>
      <c r="B58" s="2">
        <v>37702</v>
      </c>
      <c r="C58" s="1">
        <v>9.4199455569128995E-2</v>
      </c>
      <c r="D58" s="1">
        <v>8.8849175721406895E-2</v>
      </c>
      <c r="E58" s="1">
        <v>191.9</v>
      </c>
      <c r="F58" s="1">
        <v>1</v>
      </c>
      <c r="G58" s="1">
        <v>29.728524305555599</v>
      </c>
      <c r="H58" s="1">
        <v>5.2110474205315296E-3</v>
      </c>
      <c r="I58" s="1">
        <v>0</v>
      </c>
      <c r="J58" s="1">
        <v>3</v>
      </c>
      <c r="K58" s="1">
        <v>2003</v>
      </c>
      <c r="L58" s="1"/>
      <c r="M58" s="1">
        <v>5.2110474205315296E-3</v>
      </c>
      <c r="N58" s="1">
        <v>5.2110474205315296E-3</v>
      </c>
      <c r="O58" s="1">
        <f>(N58-N57)/N57</f>
        <v>4.2110474205315294</v>
      </c>
      <c r="P58" s="2">
        <v>37702</v>
      </c>
      <c r="Q58" s="1">
        <v>11</v>
      </c>
      <c r="R58" s="1"/>
    </row>
    <row r="59" spans="1:18" x14ac:dyDescent="0.2">
      <c r="A59" s="3">
        <v>58</v>
      </c>
      <c r="B59" s="2">
        <v>37710</v>
      </c>
      <c r="C59" s="1">
        <v>9.1493730493903899E-2</v>
      </c>
      <c r="D59" s="1">
        <v>8.2483176141977296E-2</v>
      </c>
      <c r="E59" s="1">
        <v>192</v>
      </c>
      <c r="F59" s="1">
        <v>0</v>
      </c>
      <c r="G59" s="1">
        <v>30.010121527777802</v>
      </c>
      <c r="H59" s="1">
        <v>0</v>
      </c>
      <c r="I59" s="1">
        <v>0</v>
      </c>
      <c r="J59" s="1">
        <v>3</v>
      </c>
      <c r="K59" s="1">
        <v>2003</v>
      </c>
      <c r="L59" s="1"/>
      <c r="M59" s="1">
        <v>1E-3</v>
      </c>
      <c r="N59" s="1">
        <v>1E-3</v>
      </c>
      <c r="O59" s="1">
        <f>(N59-N58)/N58</f>
        <v>-0.80810000000000015</v>
      </c>
      <c r="P59" s="2">
        <v>37710</v>
      </c>
      <c r="Q59" s="1">
        <v>12</v>
      </c>
      <c r="R59" s="1"/>
    </row>
    <row r="60" spans="1:18" x14ac:dyDescent="0.2">
      <c r="A60" s="3">
        <v>59</v>
      </c>
      <c r="B60" s="2">
        <v>37718</v>
      </c>
      <c r="C60" s="1">
        <v>0.107861113089782</v>
      </c>
      <c r="D60" s="1">
        <v>0.10429898401101401</v>
      </c>
      <c r="E60" s="1">
        <v>192</v>
      </c>
      <c r="F60" s="1">
        <v>0</v>
      </c>
      <c r="G60" s="1">
        <v>30.0522048611111</v>
      </c>
      <c r="H60" s="1">
        <v>0</v>
      </c>
      <c r="I60" s="1">
        <v>0</v>
      </c>
      <c r="J60" s="1">
        <v>4</v>
      </c>
      <c r="K60" s="1">
        <v>2003</v>
      </c>
      <c r="L60" s="1"/>
      <c r="M60" s="1">
        <v>1E-3</v>
      </c>
      <c r="N60" s="1">
        <v>1E-3</v>
      </c>
      <c r="O60" s="1">
        <f>(N60-N59)/N59</f>
        <v>0</v>
      </c>
      <c r="P60" s="2">
        <v>37718</v>
      </c>
      <c r="Q60" s="1">
        <v>13</v>
      </c>
      <c r="R60" s="1"/>
    </row>
    <row r="61" spans="1:18" x14ac:dyDescent="0.2">
      <c r="A61" s="3">
        <v>60</v>
      </c>
      <c r="B61" s="2">
        <v>37726</v>
      </c>
      <c r="C61" s="1">
        <v>9.6550076935418297E-2</v>
      </c>
      <c r="D61" s="1">
        <v>8.6314828445513997E-2</v>
      </c>
      <c r="E61" s="1">
        <v>191.6</v>
      </c>
      <c r="F61" s="1">
        <v>0</v>
      </c>
      <c r="G61" s="1">
        <v>29.825190972222199</v>
      </c>
      <c r="H61" s="1">
        <v>0</v>
      </c>
      <c r="I61" s="1">
        <v>0</v>
      </c>
      <c r="J61" s="1">
        <v>4</v>
      </c>
      <c r="K61" s="1">
        <v>2003</v>
      </c>
      <c r="L61" s="1"/>
      <c r="M61" s="1">
        <v>1E-3</v>
      </c>
      <c r="N61" s="1">
        <v>1E-3</v>
      </c>
      <c r="O61" s="1">
        <f>(N61-N60)/N60</f>
        <v>0</v>
      </c>
      <c r="P61" s="2">
        <v>37726</v>
      </c>
      <c r="Q61" s="1">
        <v>14</v>
      </c>
      <c r="R61" s="1"/>
    </row>
    <row r="62" spans="1:18" x14ac:dyDescent="0.2">
      <c r="A62" s="3">
        <v>61</v>
      </c>
      <c r="B62" s="2">
        <v>37734</v>
      </c>
      <c r="C62" s="1">
        <v>0.107413485171689</v>
      </c>
      <c r="D62" s="1">
        <v>8.7008972962697301E-2</v>
      </c>
      <c r="E62" s="1">
        <v>192</v>
      </c>
      <c r="F62" s="1">
        <v>0</v>
      </c>
      <c r="G62" s="1">
        <v>29.2213888888889</v>
      </c>
      <c r="H62" s="1">
        <v>0</v>
      </c>
      <c r="I62" s="1">
        <v>0</v>
      </c>
      <c r="J62" s="1">
        <v>4</v>
      </c>
      <c r="K62" s="1">
        <v>2003</v>
      </c>
      <c r="L62" s="1"/>
      <c r="M62" s="1">
        <v>1E-3</v>
      </c>
      <c r="N62" s="1">
        <v>1E-3</v>
      </c>
      <c r="O62" s="1">
        <f>(N62-N61)/N61</f>
        <v>0</v>
      </c>
      <c r="P62" s="2">
        <v>37734</v>
      </c>
      <c r="Q62" s="1">
        <v>15</v>
      </c>
      <c r="R62" s="1"/>
    </row>
    <row r="63" spans="1:18" x14ac:dyDescent="0.2">
      <c r="A63" s="3">
        <v>62</v>
      </c>
      <c r="B63" s="2">
        <v>37742</v>
      </c>
      <c r="C63" s="1">
        <v>0.10640926218845601</v>
      </c>
      <c r="D63" s="1">
        <v>0.101127167542775</v>
      </c>
      <c r="E63" s="1">
        <v>192</v>
      </c>
      <c r="F63" s="1">
        <v>0</v>
      </c>
      <c r="G63" s="1">
        <v>28.667760416666699</v>
      </c>
      <c r="H63" s="1">
        <v>0</v>
      </c>
      <c r="I63" s="1">
        <v>6.7708333333333301E-2</v>
      </c>
      <c r="J63" s="1">
        <v>5</v>
      </c>
      <c r="K63" s="1">
        <v>2003</v>
      </c>
      <c r="L63" s="1"/>
      <c r="M63" s="1">
        <v>1E-3</v>
      </c>
      <c r="N63" s="1">
        <v>1E-3</v>
      </c>
      <c r="O63" s="1">
        <f>(N63-N62)/N62</f>
        <v>0</v>
      </c>
      <c r="P63" s="2">
        <v>37742</v>
      </c>
      <c r="Q63" s="1">
        <v>16</v>
      </c>
      <c r="R63" s="1"/>
    </row>
    <row r="64" spans="1:18" x14ac:dyDescent="0.2">
      <c r="A64" s="3">
        <v>63</v>
      </c>
      <c r="B64" s="2">
        <v>37750</v>
      </c>
      <c r="C64" s="1">
        <v>0.115240832669495</v>
      </c>
      <c r="D64" s="1">
        <v>0.105708045264085</v>
      </c>
      <c r="E64" s="1">
        <v>192</v>
      </c>
      <c r="F64" s="1">
        <v>13</v>
      </c>
      <c r="G64" s="1">
        <v>28.3880208333333</v>
      </c>
      <c r="H64" s="1">
        <v>6.7708333333333301E-2</v>
      </c>
      <c r="I64" s="1">
        <v>4.6875E-2</v>
      </c>
      <c r="J64" s="1">
        <v>5</v>
      </c>
      <c r="K64" s="1">
        <v>2003</v>
      </c>
      <c r="L64" s="1"/>
      <c r="M64" s="1">
        <v>6.7708333333333301E-2</v>
      </c>
      <c r="N64" s="1">
        <v>6.7708333333333301E-2</v>
      </c>
      <c r="O64" s="1">
        <f>(N64-N63)/N63</f>
        <v>66.7083333333333</v>
      </c>
      <c r="P64" s="2">
        <v>37750</v>
      </c>
      <c r="Q64" s="1">
        <v>17</v>
      </c>
      <c r="R64" s="1"/>
    </row>
    <row r="65" spans="1:18" x14ac:dyDescent="0.2">
      <c r="A65" s="3">
        <v>64</v>
      </c>
      <c r="B65" s="2">
        <v>37758</v>
      </c>
      <c r="C65" s="1">
        <v>0.109931225882717</v>
      </c>
      <c r="D65" s="1">
        <v>9.0323860446612003E-2</v>
      </c>
      <c r="E65" s="1">
        <v>192</v>
      </c>
      <c r="F65" s="1">
        <v>9</v>
      </c>
      <c r="G65" s="1">
        <v>28.204079861111101</v>
      </c>
      <c r="H65" s="1">
        <v>4.6875E-2</v>
      </c>
      <c r="I65" s="1">
        <v>4.1666666666666699E-2</v>
      </c>
      <c r="J65" s="1">
        <v>5</v>
      </c>
      <c r="K65" s="1">
        <v>2003</v>
      </c>
      <c r="L65" s="1"/>
      <c r="M65" s="1">
        <v>4.6875E-2</v>
      </c>
      <c r="N65" s="1">
        <v>4.6875E-2</v>
      </c>
      <c r="O65" s="1">
        <f>(N65-N64)/N64</f>
        <v>-0.30769230769230738</v>
      </c>
      <c r="P65" s="2">
        <v>37758</v>
      </c>
      <c r="Q65" s="1">
        <v>18</v>
      </c>
      <c r="R65" s="1"/>
    </row>
    <row r="66" spans="1:18" x14ac:dyDescent="0.2">
      <c r="A66" s="3">
        <v>65</v>
      </c>
      <c r="B66" s="2">
        <v>37766</v>
      </c>
      <c r="C66" s="1">
        <v>0.13133120545673899</v>
      </c>
      <c r="D66" s="1">
        <v>0.116834003478289</v>
      </c>
      <c r="E66" s="1">
        <v>192</v>
      </c>
      <c r="F66" s="1">
        <v>8</v>
      </c>
      <c r="G66" s="1">
        <v>27.7835763888889</v>
      </c>
      <c r="H66" s="1">
        <v>4.1666666666666699E-2</v>
      </c>
      <c r="I66" s="1">
        <v>0.32291666666666702</v>
      </c>
      <c r="J66" s="1">
        <v>5</v>
      </c>
      <c r="K66" s="1">
        <v>2003</v>
      </c>
      <c r="L66" s="1"/>
      <c r="M66" s="1">
        <v>4.1666666666666699E-2</v>
      </c>
      <c r="N66" s="1">
        <v>4.1666666666666699E-2</v>
      </c>
      <c r="O66" s="1">
        <f>(N66-N65)/N65</f>
        <v>-0.11111111111111042</v>
      </c>
      <c r="P66" s="2">
        <v>37766</v>
      </c>
      <c r="Q66" s="1">
        <v>19</v>
      </c>
      <c r="R66" s="1"/>
    </row>
    <row r="67" spans="1:18" x14ac:dyDescent="0.2">
      <c r="A67" s="3">
        <v>66</v>
      </c>
      <c r="B67" s="2">
        <v>37774</v>
      </c>
      <c r="C67" s="1">
        <v>0.16076193115062301</v>
      </c>
      <c r="D67" s="1">
        <v>0.16636384278535801</v>
      </c>
      <c r="E67" s="1">
        <v>192</v>
      </c>
      <c r="F67" s="1">
        <v>62</v>
      </c>
      <c r="G67" s="1">
        <v>27.584982638888899</v>
      </c>
      <c r="H67" s="1">
        <v>0.32291666666666702</v>
      </c>
      <c r="I67" s="1">
        <v>0.79166666666666696</v>
      </c>
      <c r="J67" s="1">
        <v>6</v>
      </c>
      <c r="K67" s="1">
        <v>2003</v>
      </c>
      <c r="L67" s="1"/>
      <c r="M67" s="1">
        <v>0.32291666666666702</v>
      </c>
      <c r="N67" s="1">
        <v>0.32291666666666702</v>
      </c>
      <c r="O67" s="1">
        <f>(N67-N66)/N66</f>
        <v>6.7500000000000027</v>
      </c>
      <c r="P67" s="2">
        <v>37774</v>
      </c>
      <c r="Q67" s="1">
        <v>20</v>
      </c>
      <c r="R67" s="1"/>
    </row>
    <row r="68" spans="1:18" x14ac:dyDescent="0.2">
      <c r="A68" s="3">
        <v>67</v>
      </c>
      <c r="B68" s="2">
        <v>37782</v>
      </c>
      <c r="C68" s="1">
        <v>0.152511263167012</v>
      </c>
      <c r="D68" s="1">
        <v>0.133017882704735</v>
      </c>
      <c r="E68" s="1">
        <v>192</v>
      </c>
      <c r="F68" s="1">
        <v>152</v>
      </c>
      <c r="G68" s="1">
        <v>27.787725694444401</v>
      </c>
      <c r="H68" s="1">
        <v>0.79166666666666696</v>
      </c>
      <c r="I68" s="1">
        <v>0.52659019812304497</v>
      </c>
      <c r="J68" s="1">
        <v>6</v>
      </c>
      <c r="K68" s="1">
        <v>2003</v>
      </c>
      <c r="L68" s="1"/>
      <c r="M68" s="1">
        <v>0.79166666666666696</v>
      </c>
      <c r="N68" s="1">
        <v>0.79166666666666696</v>
      </c>
      <c r="O68" s="1">
        <f>(N68-N67)/N67</f>
        <v>1.4516129032258047</v>
      </c>
      <c r="P68" s="2">
        <v>37782</v>
      </c>
      <c r="Q68" s="1">
        <v>21</v>
      </c>
      <c r="R68" s="1"/>
    </row>
    <row r="69" spans="1:18" x14ac:dyDescent="0.2">
      <c r="A69" s="3">
        <v>68</v>
      </c>
      <c r="B69" s="2">
        <v>37790</v>
      </c>
      <c r="C69" s="1">
        <v>0.154209766714346</v>
      </c>
      <c r="D69" s="1">
        <v>0.163937466839949</v>
      </c>
      <c r="E69" s="1">
        <v>191.8</v>
      </c>
      <c r="F69" s="1">
        <v>101</v>
      </c>
      <c r="G69" s="1">
        <v>27.879270833333301</v>
      </c>
      <c r="H69" s="1">
        <v>0.52659019812304497</v>
      </c>
      <c r="I69" s="1">
        <v>0.83368756641870401</v>
      </c>
      <c r="J69" s="1">
        <v>6</v>
      </c>
      <c r="K69" s="1">
        <v>2003</v>
      </c>
      <c r="L69" s="1"/>
      <c r="M69" s="1">
        <v>0.52659019812304497</v>
      </c>
      <c r="N69" s="1">
        <v>0.52659019812304497</v>
      </c>
      <c r="O69" s="1">
        <f>(N69-N68)/N68</f>
        <v>-0.33483343394983817</v>
      </c>
      <c r="P69" s="2">
        <v>37790</v>
      </c>
      <c r="Q69" s="1">
        <v>22</v>
      </c>
      <c r="R69" s="1"/>
    </row>
    <row r="70" spans="1:18" x14ac:dyDescent="0.2">
      <c r="A70" s="3">
        <v>69</v>
      </c>
      <c r="B70" s="2">
        <v>37798</v>
      </c>
      <c r="C70" s="1">
        <v>0.165446085629949</v>
      </c>
      <c r="D70" s="1">
        <v>0.15851373722155901</v>
      </c>
      <c r="E70" s="1">
        <v>188.2</v>
      </c>
      <c r="F70" s="1">
        <v>156.9</v>
      </c>
      <c r="G70" s="1">
        <v>27.643246527777801</v>
      </c>
      <c r="H70" s="1">
        <v>0.83368756641870401</v>
      </c>
      <c r="I70" s="1">
        <v>0.234375</v>
      </c>
      <c r="J70" s="1">
        <v>6</v>
      </c>
      <c r="K70" s="1">
        <v>2003</v>
      </c>
      <c r="L70" s="1"/>
      <c r="M70" s="1">
        <v>0.83368756641870401</v>
      </c>
      <c r="N70" s="1">
        <v>0.83368756641870401</v>
      </c>
      <c r="O70" s="1">
        <f>(N70-N69)/N69</f>
        <v>0.58318094296145928</v>
      </c>
      <c r="P70" s="2">
        <v>37798</v>
      </c>
      <c r="Q70" s="1">
        <v>23</v>
      </c>
      <c r="R70" s="1"/>
    </row>
    <row r="71" spans="1:18" x14ac:dyDescent="0.2">
      <c r="A71" s="3">
        <v>70</v>
      </c>
      <c r="B71" s="2">
        <v>37806</v>
      </c>
      <c r="C71" s="1">
        <v>0.15326439723372501</v>
      </c>
      <c r="D71" s="1">
        <v>0.15597538153330501</v>
      </c>
      <c r="E71" s="1">
        <v>192</v>
      </c>
      <c r="F71" s="1">
        <v>45</v>
      </c>
      <c r="G71" s="1">
        <v>27.7777430555556</v>
      </c>
      <c r="H71" s="1">
        <v>0.234375</v>
      </c>
      <c r="I71" s="1">
        <v>3.125E-2</v>
      </c>
      <c r="J71" s="1">
        <v>7</v>
      </c>
      <c r="K71" s="1">
        <v>2003</v>
      </c>
      <c r="L71" s="1"/>
      <c r="M71" s="1">
        <v>0.234375</v>
      </c>
      <c r="N71" s="1">
        <v>0.234375</v>
      </c>
      <c r="O71" s="1">
        <f>(N71-N70)/N70</f>
        <v>-0.71886950286806905</v>
      </c>
      <c r="P71" s="2">
        <v>37806</v>
      </c>
      <c r="Q71" s="1">
        <v>24</v>
      </c>
      <c r="R71" s="1"/>
    </row>
    <row r="72" spans="1:18" x14ac:dyDescent="0.2">
      <c r="A72" s="3">
        <v>71</v>
      </c>
      <c r="B72" s="2">
        <v>37814</v>
      </c>
      <c r="C72" s="1">
        <v>0.15792750993586399</v>
      </c>
      <c r="D72" s="1">
        <v>0.16596562415361399</v>
      </c>
      <c r="E72" s="1">
        <v>192</v>
      </c>
      <c r="F72" s="1">
        <v>6</v>
      </c>
      <c r="G72" s="1">
        <v>27.455850694444401</v>
      </c>
      <c r="H72" s="1">
        <v>3.125E-2</v>
      </c>
      <c r="I72" s="1">
        <v>0.30208333333333298</v>
      </c>
      <c r="J72" s="1">
        <v>7</v>
      </c>
      <c r="K72" s="1">
        <v>2003</v>
      </c>
      <c r="L72" s="1"/>
      <c r="M72" s="1">
        <v>3.125E-2</v>
      </c>
      <c r="N72" s="1">
        <v>3.125E-2</v>
      </c>
      <c r="O72" s="1">
        <f>(N72-N71)/N71</f>
        <v>-0.8666666666666667</v>
      </c>
      <c r="P72" s="2">
        <v>37814</v>
      </c>
      <c r="Q72" s="1">
        <v>25</v>
      </c>
      <c r="R72" s="1"/>
    </row>
    <row r="73" spans="1:18" x14ac:dyDescent="0.2">
      <c r="A73" s="3">
        <v>72</v>
      </c>
      <c r="B73" s="2">
        <v>37822</v>
      </c>
      <c r="C73" s="1">
        <v>0.191700697396741</v>
      </c>
      <c r="D73" s="1">
        <v>0.197744409243266</v>
      </c>
      <c r="E73" s="1">
        <v>192</v>
      </c>
      <c r="F73" s="1">
        <v>58</v>
      </c>
      <c r="G73" s="1">
        <v>27.121475694444399</v>
      </c>
      <c r="H73" s="1">
        <v>0.30208333333333298</v>
      </c>
      <c r="I73" s="1">
        <v>0.55729166666666696</v>
      </c>
      <c r="J73" s="1">
        <v>7</v>
      </c>
      <c r="K73" s="1">
        <v>2003</v>
      </c>
      <c r="L73" s="1"/>
      <c r="M73" s="1">
        <v>0.30208333333333298</v>
      </c>
      <c r="N73" s="1">
        <v>0.30208333333333298</v>
      </c>
      <c r="O73" s="1">
        <f>(N73-N72)/N72</f>
        <v>8.6666666666666554</v>
      </c>
      <c r="P73" s="2">
        <v>37822</v>
      </c>
      <c r="Q73" s="1">
        <v>26</v>
      </c>
      <c r="R73" s="1"/>
    </row>
    <row r="74" spans="1:18" x14ac:dyDescent="0.2">
      <c r="A74" s="3">
        <v>73</v>
      </c>
      <c r="B74" s="2">
        <v>37830</v>
      </c>
      <c r="C74" s="1">
        <v>0.19971862019914599</v>
      </c>
      <c r="D74" s="1">
        <v>0.19006247818470001</v>
      </c>
      <c r="E74" s="1">
        <v>192</v>
      </c>
      <c r="F74" s="1">
        <v>107</v>
      </c>
      <c r="G74" s="1">
        <v>27.082100694444399</v>
      </c>
      <c r="H74" s="1">
        <v>0.55729166666666696</v>
      </c>
      <c r="I74" s="1">
        <v>0.72916666666666696</v>
      </c>
      <c r="J74" s="1">
        <v>7</v>
      </c>
      <c r="K74" s="1">
        <v>2003</v>
      </c>
      <c r="L74" s="1"/>
      <c r="M74" s="1">
        <v>0.55729166666666696</v>
      </c>
      <c r="N74" s="1">
        <v>0.55729166666666696</v>
      </c>
      <c r="O74" s="1">
        <f>(N74-N73)/N73</f>
        <v>0.84482758620689968</v>
      </c>
      <c r="P74" s="2">
        <v>37830</v>
      </c>
      <c r="Q74" s="1">
        <v>27</v>
      </c>
      <c r="R74" s="1"/>
    </row>
    <row r="75" spans="1:18" x14ac:dyDescent="0.2">
      <c r="A75" s="3">
        <v>74</v>
      </c>
      <c r="B75" s="2">
        <v>37838</v>
      </c>
      <c r="C75" s="1">
        <v>0.154993123004594</v>
      </c>
      <c r="D75" s="1">
        <v>0.13279527922471401</v>
      </c>
      <c r="E75" s="1">
        <v>192</v>
      </c>
      <c r="F75" s="1">
        <v>140</v>
      </c>
      <c r="G75" s="1">
        <v>26.846927083333298</v>
      </c>
      <c r="H75" s="1">
        <v>0.72916666666666696</v>
      </c>
      <c r="I75" s="1">
        <v>0.30729166666666702</v>
      </c>
      <c r="J75" s="1">
        <v>8</v>
      </c>
      <c r="K75" s="1">
        <v>2003</v>
      </c>
      <c r="L75" s="1"/>
      <c r="M75" s="1">
        <v>0.72916666666666696</v>
      </c>
      <c r="N75" s="1">
        <v>0.72916666666666696</v>
      </c>
      <c r="O75" s="1">
        <f>(N75-N74)/N74</f>
        <v>0.30841121495327084</v>
      </c>
      <c r="P75" s="2">
        <v>37838</v>
      </c>
      <c r="Q75" s="1">
        <v>28</v>
      </c>
      <c r="R75" s="1"/>
    </row>
    <row r="76" spans="1:18" x14ac:dyDescent="0.2">
      <c r="A76" s="3">
        <v>75</v>
      </c>
      <c r="B76" s="2">
        <v>37846</v>
      </c>
      <c r="C76" s="1">
        <v>0.15209996055525099</v>
      </c>
      <c r="D76" s="1">
        <v>0.145854640007019</v>
      </c>
      <c r="E76" s="1">
        <v>192</v>
      </c>
      <c r="F76" s="1">
        <v>59</v>
      </c>
      <c r="G76" s="1">
        <v>26.655295138888899</v>
      </c>
      <c r="H76" s="1">
        <v>0.30729166666666702</v>
      </c>
      <c r="I76" s="1">
        <v>0.334553058024046</v>
      </c>
      <c r="J76" s="1">
        <v>8</v>
      </c>
      <c r="K76" s="1">
        <v>2003</v>
      </c>
      <c r="L76" s="1"/>
      <c r="M76" s="1">
        <v>0.30729166666666702</v>
      </c>
      <c r="N76" s="1">
        <v>0.30729166666666702</v>
      </c>
      <c r="O76" s="1">
        <f>(N76-N75)/N75</f>
        <v>-0.57857142857142829</v>
      </c>
      <c r="P76" s="2">
        <v>37846</v>
      </c>
      <c r="Q76" s="1">
        <v>29</v>
      </c>
      <c r="R76" s="1"/>
    </row>
    <row r="77" spans="1:18" x14ac:dyDescent="0.2">
      <c r="A77" s="3">
        <v>76</v>
      </c>
      <c r="B77" s="2">
        <v>37854</v>
      </c>
      <c r="C77" s="1">
        <v>0.18332858551183401</v>
      </c>
      <c r="D77" s="1">
        <v>0.161085054278374</v>
      </c>
      <c r="E77" s="1">
        <v>191.3</v>
      </c>
      <c r="F77" s="1">
        <v>64</v>
      </c>
      <c r="G77" s="1">
        <v>26.7651909722222</v>
      </c>
      <c r="H77" s="1">
        <v>0.334553058024046</v>
      </c>
      <c r="I77" s="1">
        <v>0.359375</v>
      </c>
      <c r="J77" s="1">
        <v>8</v>
      </c>
      <c r="K77" s="1">
        <v>2003</v>
      </c>
      <c r="L77" s="1"/>
      <c r="M77" s="1">
        <v>0.334553058024046</v>
      </c>
      <c r="N77" s="1">
        <v>0.334553058024046</v>
      </c>
      <c r="O77" s="1">
        <f>(N77-N76)/N76</f>
        <v>8.8715036281639986E-2</v>
      </c>
      <c r="P77" s="2">
        <v>37854</v>
      </c>
      <c r="Q77" s="1">
        <v>30</v>
      </c>
      <c r="R77" s="1"/>
    </row>
    <row r="78" spans="1:18" x14ac:dyDescent="0.2">
      <c r="A78" s="3">
        <v>77</v>
      </c>
      <c r="B78" s="2">
        <v>37862</v>
      </c>
      <c r="C78" s="1">
        <v>0.157799450104081</v>
      </c>
      <c r="D78" s="1">
        <v>0.150859358410041</v>
      </c>
      <c r="E78" s="1">
        <v>192</v>
      </c>
      <c r="F78" s="1">
        <v>69</v>
      </c>
      <c r="G78" s="1">
        <v>27.194895833333302</v>
      </c>
      <c r="H78" s="1">
        <v>0.359375</v>
      </c>
      <c r="I78" s="1">
        <v>0.88020833333333304</v>
      </c>
      <c r="J78" s="1">
        <v>8</v>
      </c>
      <c r="K78" s="1">
        <v>2003</v>
      </c>
      <c r="L78" s="1"/>
      <c r="M78" s="1">
        <v>0.359375</v>
      </c>
      <c r="N78" s="1">
        <v>0.359375</v>
      </c>
      <c r="O78" s="1">
        <f>(N78-N77)/N77</f>
        <v>7.4194335937499994E-2</v>
      </c>
      <c r="P78" s="2">
        <v>37862</v>
      </c>
      <c r="Q78" s="1">
        <v>31</v>
      </c>
      <c r="R78" s="1"/>
    </row>
    <row r="79" spans="1:18" x14ac:dyDescent="0.2">
      <c r="A79" s="3">
        <v>78</v>
      </c>
      <c r="B79" s="6">
        <v>37870</v>
      </c>
      <c r="C79" s="1">
        <v>0.14917103451761299</v>
      </c>
      <c r="D79" s="1">
        <v>0.13472439100344999</v>
      </c>
      <c r="E79" s="1">
        <v>192</v>
      </c>
      <c r="F79" s="1">
        <v>169</v>
      </c>
      <c r="G79" s="1">
        <v>27.092638888888899</v>
      </c>
      <c r="H79" s="1">
        <v>0.88020833333333304</v>
      </c>
      <c r="I79" s="1">
        <v>0.87473002159827196</v>
      </c>
      <c r="J79" s="1">
        <v>9</v>
      </c>
      <c r="K79" s="1">
        <v>2003</v>
      </c>
      <c r="L79" s="1">
        <v>0.88020833333333304</v>
      </c>
      <c r="N79" s="1">
        <v>0.88020833333333304</v>
      </c>
      <c r="O79" s="7">
        <f>(N79-N78)/N78</f>
        <v>1.4492753623188397</v>
      </c>
      <c r="P79" s="6">
        <v>37870</v>
      </c>
      <c r="Q79" s="1">
        <v>32</v>
      </c>
      <c r="R79" s="1"/>
    </row>
    <row r="80" spans="1:18" x14ac:dyDescent="0.2">
      <c r="A80" s="3">
        <v>79</v>
      </c>
      <c r="B80" s="2">
        <v>37878</v>
      </c>
      <c r="C80" s="1">
        <v>0.14142510888946999</v>
      </c>
      <c r="D80" s="1">
        <v>0.128742558260759</v>
      </c>
      <c r="E80" s="1">
        <v>185.2</v>
      </c>
      <c r="F80" s="1">
        <v>162</v>
      </c>
      <c r="G80" s="1">
        <v>27.586510416666702</v>
      </c>
      <c r="H80" s="1">
        <v>0.87473002159827196</v>
      </c>
      <c r="I80" s="1">
        <v>0.99479166666666696</v>
      </c>
      <c r="J80" s="1">
        <v>9</v>
      </c>
      <c r="K80" s="1">
        <v>2003</v>
      </c>
      <c r="L80" s="1">
        <v>0.87473002159827196</v>
      </c>
      <c r="N80" s="1">
        <v>0.87473002159827196</v>
      </c>
      <c r="O80" s="1">
        <f>(N80-N79)/N79</f>
        <v>-6.2238807877617033E-3</v>
      </c>
      <c r="P80" s="2">
        <v>37878</v>
      </c>
      <c r="Q80" s="1">
        <v>33</v>
      </c>
      <c r="R80" s="1"/>
    </row>
    <row r="81" spans="1:18" x14ac:dyDescent="0.2">
      <c r="A81" s="3">
        <v>80</v>
      </c>
      <c r="B81" s="2">
        <v>37886</v>
      </c>
      <c r="C81" s="1">
        <v>0.15316910561868699</v>
      </c>
      <c r="D81" s="1">
        <v>0.11565646280845</v>
      </c>
      <c r="E81" s="1">
        <v>192</v>
      </c>
      <c r="F81" s="1">
        <v>191</v>
      </c>
      <c r="G81" s="1">
        <v>27.863211805555601</v>
      </c>
      <c r="H81" s="1">
        <v>0.99479166666666696</v>
      </c>
      <c r="I81" s="1">
        <v>1</v>
      </c>
      <c r="J81" s="1">
        <v>9</v>
      </c>
      <c r="K81" s="1">
        <v>2003</v>
      </c>
      <c r="L81" s="1">
        <v>0.99479166666666696</v>
      </c>
      <c r="N81" s="1">
        <v>0.99479166666666696</v>
      </c>
      <c r="O81" s="1">
        <f>(N81-N80)/N80</f>
        <v>0.13725565843621457</v>
      </c>
      <c r="P81" s="2">
        <v>37886</v>
      </c>
      <c r="Q81" s="1">
        <v>34</v>
      </c>
      <c r="R81" s="1"/>
    </row>
    <row r="82" spans="1:18" x14ac:dyDescent="0.2">
      <c r="A82" s="3">
        <v>81</v>
      </c>
      <c r="B82" s="2">
        <v>37894</v>
      </c>
      <c r="C82" s="1">
        <v>0.150072170332784</v>
      </c>
      <c r="D82" s="1">
        <v>0.13143632809321101</v>
      </c>
      <c r="E82" s="1">
        <v>192</v>
      </c>
      <c r="F82" s="1">
        <v>192</v>
      </c>
      <c r="G82" s="1">
        <v>28.050434027777801</v>
      </c>
      <c r="H82" s="1">
        <v>1</v>
      </c>
      <c r="I82" s="1">
        <v>0.859375</v>
      </c>
      <c r="J82" s="1">
        <v>9</v>
      </c>
      <c r="K82" s="1">
        <v>2003</v>
      </c>
      <c r="L82" s="1">
        <v>1</v>
      </c>
      <c r="N82" s="1">
        <v>1</v>
      </c>
      <c r="O82" s="1">
        <f>(N82-N81)/N81</f>
        <v>5.2356020942405388E-3</v>
      </c>
      <c r="P82" s="2">
        <v>37894</v>
      </c>
      <c r="Q82" s="1">
        <v>35</v>
      </c>
      <c r="R82" s="1"/>
    </row>
    <row r="83" spans="1:18" x14ac:dyDescent="0.2">
      <c r="A83" s="3">
        <v>82</v>
      </c>
      <c r="B83" s="2">
        <v>37902</v>
      </c>
      <c r="C83" s="1">
        <v>0.109633555469502</v>
      </c>
      <c r="D83" s="1">
        <v>0.13661477466424299</v>
      </c>
      <c r="E83" s="1">
        <v>192</v>
      </c>
      <c r="F83" s="1">
        <v>165</v>
      </c>
      <c r="G83" s="1">
        <v>28.2816493055556</v>
      </c>
      <c r="H83" s="1">
        <v>0.859375</v>
      </c>
      <c r="I83" s="1">
        <v>0.91666666666666696</v>
      </c>
      <c r="J83" s="1">
        <v>10</v>
      </c>
      <c r="K83" s="1">
        <v>2003</v>
      </c>
      <c r="L83" s="1">
        <v>0.859375</v>
      </c>
      <c r="N83" s="1">
        <v>0.859375</v>
      </c>
      <c r="O83" s="1">
        <f>(N83-N82)/N82</f>
        <v>-0.140625</v>
      </c>
      <c r="P83" s="2">
        <v>37902</v>
      </c>
      <c r="Q83" s="1">
        <v>36</v>
      </c>
      <c r="R83" s="1"/>
    </row>
    <row r="84" spans="1:18" x14ac:dyDescent="0.2">
      <c r="A84" s="3">
        <v>83</v>
      </c>
      <c r="B84" s="2">
        <v>37910</v>
      </c>
      <c r="C84" s="1">
        <v>0.132722098380327</v>
      </c>
      <c r="D84" s="1">
        <v>0.12975333010157</v>
      </c>
      <c r="E84" s="1">
        <v>192</v>
      </c>
      <c r="F84" s="1">
        <v>176</v>
      </c>
      <c r="G84" s="1">
        <v>28.656302083333301</v>
      </c>
      <c r="H84" s="1">
        <v>0.91666666666666696</v>
      </c>
      <c r="I84" s="1">
        <v>0.75</v>
      </c>
      <c r="J84" s="1">
        <v>10</v>
      </c>
      <c r="K84" s="1">
        <v>2003</v>
      </c>
      <c r="L84" s="1">
        <v>0.91666666666666696</v>
      </c>
      <c r="N84" s="1">
        <v>0.91666666666666696</v>
      </c>
      <c r="O84" s="1">
        <f>(N84-N83)/N83</f>
        <v>6.6666666666667013E-2</v>
      </c>
      <c r="P84" s="10">
        <v>37910</v>
      </c>
      <c r="Q84" s="1">
        <v>37</v>
      </c>
      <c r="R84" s="1"/>
    </row>
    <row r="85" spans="1:18" x14ac:dyDescent="0.2">
      <c r="A85" s="3">
        <v>84</v>
      </c>
      <c r="B85" s="2">
        <v>37918</v>
      </c>
      <c r="C85" s="1">
        <v>0.12811709534708801</v>
      </c>
      <c r="D85" s="1">
        <v>9.07887257635593E-2</v>
      </c>
      <c r="E85" s="1">
        <v>192</v>
      </c>
      <c r="F85" s="1">
        <v>144</v>
      </c>
      <c r="G85" s="1">
        <v>28.4771180555556</v>
      </c>
      <c r="H85" s="1">
        <v>0.75</v>
      </c>
      <c r="I85" s="1">
        <v>0.88713910761154902</v>
      </c>
      <c r="J85" s="1">
        <v>10</v>
      </c>
      <c r="K85" s="1">
        <v>2003</v>
      </c>
      <c r="L85" s="1"/>
      <c r="M85" s="1">
        <v>0.75</v>
      </c>
      <c r="N85" s="1">
        <v>0.75</v>
      </c>
      <c r="O85" s="9">
        <f>(N85-N84)/N84</f>
        <v>-0.18181818181818207</v>
      </c>
      <c r="P85" s="2">
        <v>37918</v>
      </c>
      <c r="Q85" s="1">
        <v>38</v>
      </c>
      <c r="R85" s="1"/>
    </row>
    <row r="86" spans="1:18" x14ac:dyDescent="0.2">
      <c r="A86" s="3">
        <v>85</v>
      </c>
      <c r="B86" s="6">
        <v>37926</v>
      </c>
      <c r="C86" s="1">
        <v>0.116753687933544</v>
      </c>
      <c r="D86" s="1">
        <v>0.102666530758142</v>
      </c>
      <c r="E86" s="1">
        <v>190.5</v>
      </c>
      <c r="F86" s="1">
        <v>169</v>
      </c>
      <c r="G86" s="1">
        <v>28.1990972222222</v>
      </c>
      <c r="H86" s="1">
        <v>0.88713910761154902</v>
      </c>
      <c r="I86" s="1">
        <v>0.40419947506561699</v>
      </c>
      <c r="J86" s="1">
        <v>11</v>
      </c>
      <c r="K86" s="1">
        <v>2003</v>
      </c>
      <c r="L86" s="1"/>
      <c r="M86" s="1">
        <v>0.88713910761154902</v>
      </c>
      <c r="N86" s="1">
        <v>0.88713910761154902</v>
      </c>
      <c r="O86" s="1">
        <f>(N86-N85)/N85</f>
        <v>0.18285214348206535</v>
      </c>
      <c r="P86" s="2">
        <v>37926</v>
      </c>
      <c r="Q86" s="1">
        <v>39</v>
      </c>
      <c r="R86" s="1"/>
    </row>
    <row r="87" spans="1:18" x14ac:dyDescent="0.2">
      <c r="A87" s="3">
        <v>86</v>
      </c>
      <c r="B87" s="2">
        <v>37934</v>
      </c>
      <c r="C87" s="1">
        <v>9.9602488601314196E-2</v>
      </c>
      <c r="D87" s="1">
        <v>7.7813958128293406E-2</v>
      </c>
      <c r="E87" s="1">
        <v>190.5</v>
      </c>
      <c r="F87" s="1">
        <v>77</v>
      </c>
      <c r="G87" s="1">
        <v>28.236805555555598</v>
      </c>
      <c r="H87" s="1">
        <v>0.40419947506561699</v>
      </c>
      <c r="I87" s="1">
        <v>0.495821727019499</v>
      </c>
      <c r="J87" s="1">
        <v>11</v>
      </c>
      <c r="K87" s="1">
        <v>2003</v>
      </c>
      <c r="L87" s="1"/>
      <c r="M87" s="1">
        <v>0.40419947506561699</v>
      </c>
      <c r="N87" s="1">
        <v>0.40419947506561699</v>
      </c>
      <c r="O87" s="8">
        <f>(N87-N86)/N86</f>
        <v>-0.54437869822485208</v>
      </c>
      <c r="P87" s="2">
        <v>37934</v>
      </c>
      <c r="Q87" s="1">
        <v>40</v>
      </c>
      <c r="R87" s="1"/>
    </row>
    <row r="88" spans="1:18" x14ac:dyDescent="0.2">
      <c r="A88" s="3">
        <v>87</v>
      </c>
      <c r="B88" s="2">
        <v>37942</v>
      </c>
      <c r="C88" s="1">
        <v>0.116884002715526</v>
      </c>
      <c r="D88" s="1">
        <v>0.106736950576305</v>
      </c>
      <c r="E88" s="1">
        <v>179.5</v>
      </c>
      <c r="F88" s="1">
        <v>89</v>
      </c>
      <c r="G88" s="1">
        <v>28.3469444444444</v>
      </c>
      <c r="H88" s="1">
        <v>0.495821727019499</v>
      </c>
      <c r="I88" s="1">
        <v>0.448756822316555</v>
      </c>
      <c r="J88" s="1">
        <v>11</v>
      </c>
      <c r="K88" s="1">
        <v>2003</v>
      </c>
      <c r="L88" s="1"/>
      <c r="M88" s="1">
        <v>0.495821727019499</v>
      </c>
      <c r="N88" s="1">
        <v>0.495821727019499</v>
      </c>
      <c r="O88" s="1">
        <f>(N88-N87)/N87</f>
        <v>0.22667583113265605</v>
      </c>
      <c r="P88" s="2">
        <v>37942</v>
      </c>
      <c r="Q88" s="1">
        <v>41</v>
      </c>
      <c r="R88" s="1"/>
    </row>
    <row r="89" spans="1:18" x14ac:dyDescent="0.2">
      <c r="A89" s="3">
        <v>88</v>
      </c>
      <c r="B89" s="2">
        <v>37950</v>
      </c>
      <c r="C89" s="1">
        <v>0.139927961284945</v>
      </c>
      <c r="D89" s="1">
        <v>0.13953189800183</v>
      </c>
      <c r="E89" s="1">
        <v>164.9</v>
      </c>
      <c r="F89" s="1">
        <v>74</v>
      </c>
      <c r="G89" s="1">
        <v>28.453784722222199</v>
      </c>
      <c r="H89" s="1">
        <v>0.448756822316555</v>
      </c>
      <c r="I89" s="1">
        <v>0.71428571428571397</v>
      </c>
      <c r="J89" s="1">
        <v>11</v>
      </c>
      <c r="K89" s="1">
        <v>2003</v>
      </c>
      <c r="L89" s="1"/>
      <c r="M89" s="1">
        <v>0.448756822316555</v>
      </c>
      <c r="N89" s="1">
        <v>0.448756822316555</v>
      </c>
      <c r="O89" s="1">
        <f>(N89-N88)/N88</f>
        <v>-9.4923038136836418E-2</v>
      </c>
      <c r="P89" s="2">
        <v>37950</v>
      </c>
      <c r="Q89" s="1">
        <v>42</v>
      </c>
      <c r="R89" s="1"/>
    </row>
    <row r="90" spans="1:18" x14ac:dyDescent="0.2">
      <c r="A90" s="3">
        <v>89</v>
      </c>
      <c r="B90" s="2">
        <v>37958</v>
      </c>
      <c r="C90" s="1">
        <v>0.14373316639700001</v>
      </c>
      <c r="D90" s="1">
        <v>0.14043968667586601</v>
      </c>
      <c r="E90" s="1">
        <v>184.8</v>
      </c>
      <c r="F90" s="1">
        <v>132</v>
      </c>
      <c r="G90" s="1">
        <v>28.937569444444399</v>
      </c>
      <c r="H90" s="1">
        <v>0.71428571428571397</v>
      </c>
      <c r="I90" s="1">
        <v>0.75718015665796301</v>
      </c>
      <c r="J90" s="1">
        <v>12</v>
      </c>
      <c r="K90" s="1">
        <v>2003</v>
      </c>
      <c r="L90" s="1"/>
      <c r="M90" s="1">
        <v>0.71428571428571397</v>
      </c>
      <c r="N90" s="1">
        <v>0.71428571428571397</v>
      </c>
      <c r="O90" s="1">
        <f>(N90-N89)/N89</f>
        <v>0.59169884169884268</v>
      </c>
      <c r="P90" s="2">
        <v>37958</v>
      </c>
      <c r="Q90" s="1">
        <v>43</v>
      </c>
      <c r="R90" s="1"/>
    </row>
    <row r="91" spans="1:18" x14ac:dyDescent="0.2">
      <c r="A91" s="3">
        <v>90</v>
      </c>
      <c r="B91" s="2">
        <v>37966</v>
      </c>
      <c r="C91" s="1">
        <v>0.126970907939332</v>
      </c>
      <c r="D91" s="1">
        <v>0.12303349375724799</v>
      </c>
      <c r="E91" s="1">
        <v>191.5</v>
      </c>
      <c r="F91" s="1">
        <v>145</v>
      </c>
      <c r="G91" s="1">
        <v>29.2384027777778</v>
      </c>
      <c r="H91" s="1">
        <v>0.75718015665796301</v>
      </c>
      <c r="I91" s="1">
        <v>0.78645833333333304</v>
      </c>
      <c r="J91" s="1">
        <v>12</v>
      </c>
      <c r="K91" s="1">
        <v>2003</v>
      </c>
      <c r="L91" s="1"/>
      <c r="M91" s="1">
        <v>0.75718015665796301</v>
      </c>
      <c r="N91" s="1">
        <v>0.75718015665796301</v>
      </c>
      <c r="O91" s="1">
        <f>(N91-N90)/N90</f>
        <v>6.0052219321148688E-2</v>
      </c>
      <c r="P91" s="2">
        <v>37966</v>
      </c>
      <c r="Q91" s="1">
        <v>44</v>
      </c>
      <c r="R91" s="1"/>
    </row>
    <row r="92" spans="1:18" x14ac:dyDescent="0.2">
      <c r="A92" s="3">
        <v>91</v>
      </c>
      <c r="B92" s="2">
        <v>37974</v>
      </c>
      <c r="C92" s="1">
        <v>9.1346475661178206E-2</v>
      </c>
      <c r="D92" s="1">
        <v>7.5032646457354205E-2</v>
      </c>
      <c r="E92" s="1">
        <v>192</v>
      </c>
      <c r="F92" s="1">
        <v>151</v>
      </c>
      <c r="G92" s="1">
        <v>28.6883680555556</v>
      </c>
      <c r="H92" s="1">
        <v>0.78645833333333304</v>
      </c>
      <c r="I92" s="1">
        <v>0.55045871559632997</v>
      </c>
      <c r="J92" s="1">
        <v>12</v>
      </c>
      <c r="K92" s="1">
        <v>2003</v>
      </c>
      <c r="L92" s="1"/>
      <c r="M92" s="1">
        <v>0.78645833333333304</v>
      </c>
      <c r="N92" s="1">
        <v>0.78645833333333304</v>
      </c>
      <c r="O92" s="1">
        <f>(N92-N91)/N91</f>
        <v>3.8667385057471471E-2</v>
      </c>
      <c r="P92" s="2">
        <v>37974</v>
      </c>
      <c r="Q92" s="1">
        <v>45</v>
      </c>
      <c r="R92" s="1"/>
    </row>
    <row r="93" spans="1:18" x14ac:dyDescent="0.2">
      <c r="A93" s="3">
        <v>92</v>
      </c>
      <c r="B93" s="2">
        <v>37982</v>
      </c>
      <c r="C93" s="1">
        <v>8.5074210572920902E-2</v>
      </c>
      <c r="D93" s="1">
        <v>7.1667183190584197E-2</v>
      </c>
      <c r="E93" s="1">
        <v>119.9</v>
      </c>
      <c r="F93" s="1">
        <v>66</v>
      </c>
      <c r="G93" s="1">
        <v>29.001888888888899</v>
      </c>
      <c r="H93" s="1">
        <v>0.55045871559632997</v>
      </c>
      <c r="I93" s="1">
        <v>3.6572622779519302E-2</v>
      </c>
      <c r="J93" s="1">
        <v>12</v>
      </c>
      <c r="K93" s="1">
        <v>2003</v>
      </c>
      <c r="L93" s="1"/>
      <c r="M93" s="1">
        <v>0.55045871559632997</v>
      </c>
      <c r="N93" s="1">
        <v>0.55045871559632997</v>
      </c>
      <c r="O93" s="1">
        <f>(N93-N92)/N92</f>
        <v>-0.30007898414241463</v>
      </c>
      <c r="P93" s="2">
        <v>37982</v>
      </c>
      <c r="Q93" s="1">
        <v>46</v>
      </c>
      <c r="R93" s="1"/>
    </row>
    <row r="94" spans="1:18" x14ac:dyDescent="0.2">
      <c r="A94" s="3">
        <v>93</v>
      </c>
      <c r="B94" s="2">
        <v>37987</v>
      </c>
      <c r="C94" s="1">
        <v>6.7748903302532207E-2</v>
      </c>
      <c r="D94" s="1">
        <v>6.8521928042173399E-2</v>
      </c>
      <c r="E94" s="1">
        <v>191.4</v>
      </c>
      <c r="F94" s="1">
        <v>7</v>
      </c>
      <c r="G94" s="1">
        <v>29.3723611111111</v>
      </c>
      <c r="H94" s="1">
        <v>3.6572622779519302E-2</v>
      </c>
      <c r="I94" s="1">
        <v>0.281396560708702</v>
      </c>
      <c r="J94" s="1">
        <v>1</v>
      </c>
      <c r="K94" s="1">
        <v>2004</v>
      </c>
      <c r="L94" s="1"/>
      <c r="M94" s="1">
        <v>3.6572622779519302E-2</v>
      </c>
      <c r="N94" s="1">
        <v>3.6572622779519302E-2</v>
      </c>
      <c r="O94" s="1">
        <f>(N94-N93)/N93</f>
        <v>-0.93355973528387315</v>
      </c>
      <c r="P94" s="2">
        <v>37987</v>
      </c>
      <c r="Q94" s="1">
        <v>1</v>
      </c>
      <c r="R94" s="1"/>
    </row>
    <row r="95" spans="1:18" x14ac:dyDescent="0.2">
      <c r="A95" s="3">
        <v>94</v>
      </c>
      <c r="B95" s="2">
        <v>37995</v>
      </c>
      <c r="C95" s="1">
        <v>7.2118838929389403E-2</v>
      </c>
      <c r="D95" s="1">
        <v>5.0368950391809102E-2</v>
      </c>
      <c r="E95" s="1">
        <v>191.9</v>
      </c>
      <c r="F95" s="1">
        <v>54</v>
      </c>
      <c r="G95" s="1">
        <v>29.557534722222201</v>
      </c>
      <c r="H95" s="1">
        <v>0.281396560708702</v>
      </c>
      <c r="I95" s="1">
        <v>0.14345991561181401</v>
      </c>
      <c r="J95" s="1">
        <v>1</v>
      </c>
      <c r="K95" s="1">
        <v>2004</v>
      </c>
      <c r="L95" s="1"/>
      <c r="M95" s="1">
        <v>0.281396560708702</v>
      </c>
      <c r="N95" s="1">
        <v>0.281396560708702</v>
      </c>
      <c r="O95" s="1">
        <f>(N95-N94)/N94</f>
        <v>6.6941859599493725</v>
      </c>
      <c r="P95" s="2">
        <v>37995</v>
      </c>
      <c r="Q95" s="1">
        <v>2</v>
      </c>
      <c r="R95" s="1"/>
    </row>
    <row r="96" spans="1:18" x14ac:dyDescent="0.2">
      <c r="A96" s="3">
        <v>95</v>
      </c>
      <c r="B96" s="2">
        <v>38003</v>
      </c>
      <c r="C96" s="1">
        <v>9.7761996575361207E-2</v>
      </c>
      <c r="D96" s="1">
        <v>7.4266694486141205E-2</v>
      </c>
      <c r="E96" s="1">
        <v>118.5</v>
      </c>
      <c r="F96" s="1">
        <v>17</v>
      </c>
      <c r="G96" s="1">
        <v>29.155434027777801</v>
      </c>
      <c r="H96" s="1">
        <v>0.14345991561181401</v>
      </c>
      <c r="I96" s="1">
        <v>0.15104166666666699</v>
      </c>
      <c r="J96" s="1">
        <v>1</v>
      </c>
      <c r="K96" s="1">
        <v>2004</v>
      </c>
      <c r="L96" s="1"/>
      <c r="M96" s="1">
        <v>0.14345991561181401</v>
      </c>
      <c r="N96" s="1">
        <v>0.14345991561181401</v>
      </c>
      <c r="O96" s="1">
        <f>(N96-N95)/N95</f>
        <v>-0.49018596655727498</v>
      </c>
      <c r="P96" s="2">
        <v>38003</v>
      </c>
      <c r="Q96" s="1">
        <v>3</v>
      </c>
      <c r="R96" s="1"/>
    </row>
    <row r="97" spans="1:18" x14ac:dyDescent="0.2">
      <c r="A97" s="3">
        <v>96</v>
      </c>
      <c r="B97" s="2">
        <v>38011</v>
      </c>
      <c r="C97" s="1">
        <v>0.104742932635726</v>
      </c>
      <c r="D97" s="1">
        <v>8.9756475140651104E-2</v>
      </c>
      <c r="E97" s="1">
        <v>192</v>
      </c>
      <c r="F97" s="1">
        <v>29</v>
      </c>
      <c r="G97" s="1">
        <v>29.146805555555598</v>
      </c>
      <c r="H97" s="1">
        <v>0.15104166666666699</v>
      </c>
      <c r="I97" s="1">
        <v>6.7885117493472605E-2</v>
      </c>
      <c r="J97" s="1">
        <v>1</v>
      </c>
      <c r="K97" s="1">
        <v>2004</v>
      </c>
      <c r="L97" s="1"/>
      <c r="M97" s="1">
        <v>0.15104166666666699</v>
      </c>
      <c r="N97" s="1">
        <v>0.15104166666666699</v>
      </c>
      <c r="O97" s="1">
        <f>(N97-N96)/N96</f>
        <v>5.2849264705887078E-2</v>
      </c>
      <c r="P97" s="2">
        <v>38011</v>
      </c>
      <c r="Q97" s="1">
        <v>4</v>
      </c>
      <c r="R97" s="1"/>
    </row>
    <row r="98" spans="1:18" x14ac:dyDescent="0.2">
      <c r="A98" s="3">
        <v>97</v>
      </c>
      <c r="B98" s="2">
        <v>38019</v>
      </c>
      <c r="C98" s="1">
        <v>0.100509320492012</v>
      </c>
      <c r="D98" s="1">
        <v>0.10057684654990801</v>
      </c>
      <c r="E98" s="1">
        <v>191.5</v>
      </c>
      <c r="F98" s="1">
        <v>13</v>
      </c>
      <c r="G98" s="1">
        <v>28.752378472222201</v>
      </c>
      <c r="H98" s="1">
        <v>6.7885117493472605E-2</v>
      </c>
      <c r="I98" s="1">
        <v>5.2083333333333301E-2</v>
      </c>
      <c r="J98" s="1">
        <v>2</v>
      </c>
      <c r="K98" s="1">
        <v>2004</v>
      </c>
      <c r="L98" s="1"/>
      <c r="M98" s="1">
        <v>6.7885117493472605E-2</v>
      </c>
      <c r="N98" s="1">
        <v>6.7885117493472605E-2</v>
      </c>
      <c r="O98" s="1">
        <f>(N98-N97)/N97</f>
        <v>-0.55055370487080302</v>
      </c>
      <c r="P98" s="2">
        <v>38019</v>
      </c>
      <c r="Q98" s="1">
        <v>5</v>
      </c>
      <c r="R98" s="1"/>
    </row>
    <row r="99" spans="1:18" x14ac:dyDescent="0.2">
      <c r="A99" s="3">
        <v>98</v>
      </c>
      <c r="B99" s="2">
        <v>38027</v>
      </c>
      <c r="C99" s="1">
        <v>8.7260145073135703E-2</v>
      </c>
      <c r="D99" s="1">
        <v>7.7927467723687499E-2</v>
      </c>
      <c r="E99" s="1">
        <v>192</v>
      </c>
      <c r="F99" s="1">
        <v>10</v>
      </c>
      <c r="G99" s="1">
        <v>28.988940972222199</v>
      </c>
      <c r="H99" s="1">
        <v>5.2083333333333301E-2</v>
      </c>
      <c r="I99" s="1">
        <v>5.0890585241730298E-2</v>
      </c>
      <c r="J99" s="1">
        <v>2</v>
      </c>
      <c r="K99" s="1">
        <v>2004</v>
      </c>
      <c r="L99" s="1"/>
      <c r="M99" s="1">
        <v>5.2083333333333301E-2</v>
      </c>
      <c r="N99" s="1">
        <v>5.2083333333333301E-2</v>
      </c>
      <c r="O99" s="1">
        <f>(N99-N98)/N98</f>
        <v>-0.2327724358974366</v>
      </c>
      <c r="P99" s="2">
        <v>38027</v>
      </c>
      <c r="Q99" s="1">
        <v>6</v>
      </c>
      <c r="R99" s="1"/>
    </row>
    <row r="100" spans="1:18" x14ac:dyDescent="0.2">
      <c r="A100" s="3">
        <v>99</v>
      </c>
      <c r="B100" s="2">
        <v>38035</v>
      </c>
      <c r="C100" s="1">
        <v>9.3986825815525393E-2</v>
      </c>
      <c r="D100" s="1">
        <v>7.5265227506558105E-2</v>
      </c>
      <c r="E100" s="1">
        <v>157.19999999999999</v>
      </c>
      <c r="F100" s="1">
        <v>8</v>
      </c>
      <c r="G100" s="1">
        <v>29.273020833333302</v>
      </c>
      <c r="H100" s="1">
        <v>5.0890585241730298E-2</v>
      </c>
      <c r="I100" s="1">
        <v>0</v>
      </c>
      <c r="J100" s="1">
        <v>2</v>
      </c>
      <c r="K100" s="1">
        <v>2004</v>
      </c>
      <c r="L100" s="1"/>
      <c r="M100" s="1">
        <v>5.0890585241730298E-2</v>
      </c>
      <c r="N100" s="1">
        <v>5.0890585241730298E-2</v>
      </c>
      <c r="O100" s="1">
        <f>(N100-N99)/N99</f>
        <v>-2.2900763358777679E-2</v>
      </c>
      <c r="P100" s="2">
        <v>38035</v>
      </c>
      <c r="Q100" s="1">
        <v>7</v>
      </c>
      <c r="R100" s="1"/>
    </row>
    <row r="101" spans="1:18" x14ac:dyDescent="0.2">
      <c r="A101" s="3">
        <v>100</v>
      </c>
      <c r="B101" s="2">
        <v>38043</v>
      </c>
      <c r="C101" s="1">
        <v>8.1289221255463506E-2</v>
      </c>
      <c r="D101" s="1">
        <v>7.3632725824912398E-2</v>
      </c>
      <c r="E101" s="1">
        <v>192</v>
      </c>
      <c r="F101" s="1">
        <v>0</v>
      </c>
      <c r="G101" s="1">
        <v>29.046527777777801</v>
      </c>
      <c r="H101" s="1">
        <v>0</v>
      </c>
      <c r="I101" s="1">
        <v>0</v>
      </c>
      <c r="J101" s="1">
        <v>2</v>
      </c>
      <c r="K101" s="1">
        <v>2004</v>
      </c>
      <c r="L101" s="1"/>
      <c r="M101" s="1">
        <v>1E-3</v>
      </c>
      <c r="N101" s="1">
        <v>1E-3</v>
      </c>
      <c r="O101" s="1">
        <f>(N101-N100)/N100</f>
        <v>-0.98034999999999994</v>
      </c>
      <c r="P101" s="2">
        <v>38043</v>
      </c>
      <c r="Q101" s="1">
        <v>8</v>
      </c>
      <c r="R101" s="1"/>
    </row>
    <row r="102" spans="1:18" x14ac:dyDescent="0.2">
      <c r="A102" s="3">
        <v>101</v>
      </c>
      <c r="B102" s="2">
        <v>38051</v>
      </c>
      <c r="C102" s="1">
        <v>7.4553920289143802E-2</v>
      </c>
      <c r="D102" s="1">
        <v>7.3795448988676099E-2</v>
      </c>
      <c r="E102" s="1">
        <v>153.4</v>
      </c>
      <c r="F102" s="1">
        <v>0</v>
      </c>
      <c r="G102" s="1">
        <v>29.085555555555601</v>
      </c>
      <c r="H102" s="1">
        <v>0</v>
      </c>
      <c r="I102" s="1">
        <v>0</v>
      </c>
      <c r="J102" s="1">
        <v>3</v>
      </c>
      <c r="K102" s="1">
        <v>2004</v>
      </c>
      <c r="L102" s="1"/>
      <c r="M102" s="1">
        <v>1E-3</v>
      </c>
      <c r="N102" s="1">
        <v>1E-3</v>
      </c>
      <c r="O102" s="1">
        <f>(N102-N101)/N101</f>
        <v>0</v>
      </c>
      <c r="P102" s="2">
        <v>38051</v>
      </c>
      <c r="Q102" s="1">
        <v>9</v>
      </c>
      <c r="R102" s="1"/>
    </row>
    <row r="103" spans="1:18" x14ac:dyDescent="0.2">
      <c r="A103" s="3">
        <v>102</v>
      </c>
      <c r="B103" s="2">
        <v>38059</v>
      </c>
      <c r="C103" s="1">
        <v>8.0023707634598498E-2</v>
      </c>
      <c r="D103" s="1">
        <v>7.1626054743925693E-2</v>
      </c>
      <c r="E103" s="1">
        <v>192</v>
      </c>
      <c r="F103" s="1">
        <v>0</v>
      </c>
      <c r="G103" s="1">
        <v>28.8708506944444</v>
      </c>
      <c r="H103" s="1">
        <v>0</v>
      </c>
      <c r="I103" s="1">
        <v>5.2083333333333296E-3</v>
      </c>
      <c r="J103" s="1">
        <v>3</v>
      </c>
      <c r="K103" s="1">
        <v>2004</v>
      </c>
      <c r="L103" s="1"/>
      <c r="M103" s="1">
        <v>1E-3</v>
      </c>
      <c r="N103" s="1">
        <v>1E-3</v>
      </c>
      <c r="O103" s="1">
        <f>(N103-N102)/N102</f>
        <v>0</v>
      </c>
      <c r="P103" s="2">
        <v>38059</v>
      </c>
      <c r="Q103" s="1">
        <v>10</v>
      </c>
      <c r="R103" s="1"/>
    </row>
    <row r="104" spans="1:18" x14ac:dyDescent="0.2">
      <c r="A104" s="3">
        <v>103</v>
      </c>
      <c r="B104" s="2">
        <v>38067</v>
      </c>
      <c r="C104" s="1">
        <v>8.0552408548854496E-2</v>
      </c>
      <c r="D104" s="1">
        <v>7.2822842746972996E-2</v>
      </c>
      <c r="E104" s="1">
        <v>192</v>
      </c>
      <c r="F104" s="1">
        <v>1</v>
      </c>
      <c r="G104" s="1">
        <v>29.505381944444402</v>
      </c>
      <c r="H104" s="1">
        <v>5.2083333333333296E-3</v>
      </c>
      <c r="I104" s="1">
        <v>5.2083333333333296E-3</v>
      </c>
      <c r="J104" s="1">
        <v>3</v>
      </c>
      <c r="K104" s="1">
        <v>2004</v>
      </c>
      <c r="L104" s="1"/>
      <c r="M104" s="1">
        <v>5.2083333333333296E-3</v>
      </c>
      <c r="N104" s="1">
        <v>5.2083333333333296E-3</v>
      </c>
      <c r="O104" s="1">
        <f>(N104-N103)/N103</f>
        <v>4.2083333333333295</v>
      </c>
      <c r="P104" s="2">
        <v>38067</v>
      </c>
      <c r="Q104" s="1">
        <v>11</v>
      </c>
      <c r="R104" s="1"/>
    </row>
    <row r="105" spans="1:18" x14ac:dyDescent="0.2">
      <c r="A105" s="3">
        <v>104</v>
      </c>
      <c r="B105" s="2">
        <v>38075</v>
      </c>
      <c r="C105" s="1">
        <v>8.2256638659880699E-2</v>
      </c>
      <c r="D105" s="1">
        <v>7.1414951235055896E-2</v>
      </c>
      <c r="E105" s="1">
        <v>192</v>
      </c>
      <c r="F105" s="1">
        <v>1</v>
      </c>
      <c r="G105" s="1">
        <v>30.012100694444399</v>
      </c>
      <c r="H105" s="1">
        <v>5.2083333333333296E-3</v>
      </c>
      <c r="I105" s="1">
        <v>0</v>
      </c>
      <c r="J105" s="1">
        <v>3</v>
      </c>
      <c r="K105" s="1">
        <v>2004</v>
      </c>
      <c r="L105" s="1"/>
      <c r="M105" s="1">
        <v>5.2083333333333296E-3</v>
      </c>
      <c r="N105" s="1">
        <v>5.2083333333333296E-3</v>
      </c>
      <c r="O105" s="1">
        <f>(N105-N104)/N104</f>
        <v>0</v>
      </c>
      <c r="P105" s="2">
        <v>38075</v>
      </c>
      <c r="Q105" s="1">
        <v>12</v>
      </c>
      <c r="R105" s="1"/>
    </row>
    <row r="106" spans="1:18" x14ac:dyDescent="0.2">
      <c r="A106" s="3">
        <v>105</v>
      </c>
      <c r="B106" s="2">
        <v>38083</v>
      </c>
      <c r="C106" s="1">
        <v>7.3821848776389906E-2</v>
      </c>
      <c r="D106" s="1">
        <v>6.3880699376265199E-2</v>
      </c>
      <c r="E106" s="1">
        <v>192</v>
      </c>
      <c r="F106" s="1">
        <v>0</v>
      </c>
      <c r="G106" s="1">
        <v>30.1238541666667</v>
      </c>
      <c r="H106" s="1">
        <v>0</v>
      </c>
      <c r="I106" s="1">
        <v>0</v>
      </c>
      <c r="J106" s="1">
        <v>4</v>
      </c>
      <c r="K106" s="1">
        <v>2004</v>
      </c>
      <c r="L106" s="1"/>
      <c r="M106" s="1">
        <v>1E-3</v>
      </c>
      <c r="N106" s="1">
        <v>1E-3</v>
      </c>
      <c r="O106" s="1">
        <f>(N106-N105)/N105</f>
        <v>-0.80799999999999983</v>
      </c>
      <c r="P106" s="2">
        <v>38083</v>
      </c>
      <c r="Q106" s="1">
        <v>13</v>
      </c>
      <c r="R106" s="1"/>
    </row>
    <row r="107" spans="1:18" x14ac:dyDescent="0.2">
      <c r="A107" s="3">
        <v>106</v>
      </c>
      <c r="B107" s="2">
        <v>38091</v>
      </c>
      <c r="C107" s="1">
        <v>7.2963929801218005E-2</v>
      </c>
      <c r="D107" s="1">
        <v>5.6168630719184903E-2</v>
      </c>
      <c r="E107" s="1">
        <v>187.8</v>
      </c>
      <c r="F107" s="1">
        <v>0</v>
      </c>
      <c r="G107" s="1">
        <v>30.012534722222199</v>
      </c>
      <c r="H107" s="1">
        <v>0</v>
      </c>
      <c r="I107" s="1">
        <v>5.2383446830801504E-3</v>
      </c>
      <c r="J107" s="1">
        <v>4</v>
      </c>
      <c r="K107" s="1">
        <v>2004</v>
      </c>
      <c r="L107" s="1"/>
      <c r="M107" s="1">
        <v>1E-3</v>
      </c>
      <c r="N107" s="1">
        <v>1E-3</v>
      </c>
      <c r="O107" s="1">
        <f>(N107-N106)/N106</f>
        <v>0</v>
      </c>
      <c r="P107" s="2">
        <v>38091</v>
      </c>
      <c r="Q107" s="1">
        <v>14</v>
      </c>
      <c r="R107" s="1"/>
    </row>
    <row r="108" spans="1:18" x14ac:dyDescent="0.2">
      <c r="A108" s="3">
        <v>107</v>
      </c>
      <c r="B108" s="2">
        <v>38099</v>
      </c>
      <c r="C108" s="1">
        <v>7.2376890405571701E-2</v>
      </c>
      <c r="D108" s="1">
        <v>6.4049096778035206E-2</v>
      </c>
      <c r="E108" s="1">
        <v>190.9</v>
      </c>
      <c r="F108" s="1">
        <v>1</v>
      </c>
      <c r="G108" s="1">
        <v>29.464913194444399</v>
      </c>
      <c r="H108" s="1">
        <v>5.2383446830801504E-3</v>
      </c>
      <c r="I108" s="1">
        <v>0</v>
      </c>
      <c r="J108" s="1">
        <v>4</v>
      </c>
      <c r="K108" s="1">
        <v>2004</v>
      </c>
      <c r="L108" s="1"/>
      <c r="M108" s="1">
        <v>5.2383446830801504E-3</v>
      </c>
      <c r="N108" s="1">
        <v>5.2383446830801504E-3</v>
      </c>
      <c r="O108" s="1">
        <f>(N108-N107)/N107</f>
        <v>4.2383446830801503</v>
      </c>
      <c r="P108" s="2">
        <v>38099</v>
      </c>
      <c r="Q108" s="1">
        <v>15</v>
      </c>
      <c r="R108" s="1"/>
    </row>
    <row r="109" spans="1:18" x14ac:dyDescent="0.2">
      <c r="A109" s="3">
        <v>108</v>
      </c>
      <c r="B109" s="2">
        <v>38107</v>
      </c>
      <c r="C109" s="1">
        <v>6.0639401701720101E-2</v>
      </c>
      <c r="D109" s="1">
        <v>5.9839943423867198E-2</v>
      </c>
      <c r="E109" s="1">
        <v>191.5</v>
      </c>
      <c r="F109" s="1">
        <v>0</v>
      </c>
      <c r="G109" s="1">
        <v>28.213298611111099</v>
      </c>
      <c r="H109" s="1">
        <v>0</v>
      </c>
      <c r="I109" s="1">
        <v>0</v>
      </c>
      <c r="J109" s="1">
        <v>4</v>
      </c>
      <c r="K109" s="1">
        <v>2004</v>
      </c>
      <c r="L109" s="1"/>
      <c r="M109" s="1">
        <v>1E-3</v>
      </c>
      <c r="N109" s="1">
        <v>1E-3</v>
      </c>
      <c r="O109" s="1">
        <f>(N109-N108)/N108</f>
        <v>-0.80910000000000015</v>
      </c>
      <c r="P109" s="2">
        <v>38107</v>
      </c>
      <c r="Q109" s="1">
        <v>16</v>
      </c>
      <c r="R109" s="1"/>
    </row>
    <row r="110" spans="1:18" x14ac:dyDescent="0.2">
      <c r="A110" s="3">
        <v>109</v>
      </c>
      <c r="B110" s="2">
        <v>38115</v>
      </c>
      <c r="C110" s="1">
        <v>0.14721831022458701</v>
      </c>
      <c r="D110" s="1">
        <v>0.12986528376738199</v>
      </c>
      <c r="E110" s="1">
        <v>191.9</v>
      </c>
      <c r="F110" s="1">
        <v>0</v>
      </c>
      <c r="G110" s="1">
        <v>27.7077430555556</v>
      </c>
      <c r="H110" s="1">
        <v>0</v>
      </c>
      <c r="I110" s="1">
        <v>5.2137643378519297E-3</v>
      </c>
      <c r="J110" s="1">
        <v>5</v>
      </c>
      <c r="K110" s="1">
        <v>2004</v>
      </c>
      <c r="L110" s="1"/>
      <c r="M110" s="1">
        <v>1E-3</v>
      </c>
      <c r="N110" s="1">
        <v>1E-3</v>
      </c>
      <c r="O110" s="1">
        <f>(N110-N109)/N109</f>
        <v>0</v>
      </c>
      <c r="P110" s="2">
        <v>38115</v>
      </c>
      <c r="Q110" s="1">
        <v>17</v>
      </c>
      <c r="R110" s="1"/>
    </row>
    <row r="111" spans="1:18" x14ac:dyDescent="0.2">
      <c r="A111" s="3">
        <v>110</v>
      </c>
      <c r="B111" s="2">
        <v>38123</v>
      </c>
      <c r="C111" s="1">
        <v>0.113343703191309</v>
      </c>
      <c r="D111" s="1">
        <v>0.10325309013327</v>
      </c>
      <c r="E111" s="1">
        <v>191.8</v>
      </c>
      <c r="F111" s="1">
        <v>1</v>
      </c>
      <c r="G111" s="1">
        <v>28.073802083333302</v>
      </c>
      <c r="H111" s="1">
        <v>5.2137643378519297E-3</v>
      </c>
      <c r="I111" s="1">
        <v>6.25E-2</v>
      </c>
      <c r="J111" s="1">
        <v>5</v>
      </c>
      <c r="K111" s="1">
        <v>2004</v>
      </c>
      <c r="L111" s="1"/>
      <c r="M111" s="1">
        <v>5.2137643378519297E-3</v>
      </c>
      <c r="N111" s="1">
        <v>5.2137643378519297E-3</v>
      </c>
      <c r="O111" s="1">
        <f>(N111-N110)/N110</f>
        <v>4.2137643378519298</v>
      </c>
      <c r="P111" s="2">
        <v>38123</v>
      </c>
      <c r="Q111" s="1">
        <v>18</v>
      </c>
      <c r="R111" s="1"/>
    </row>
    <row r="112" spans="1:18" x14ac:dyDescent="0.2">
      <c r="A112" s="3">
        <v>111</v>
      </c>
      <c r="B112" s="2">
        <v>38131</v>
      </c>
      <c r="C112" s="1">
        <v>0.113350572185756</v>
      </c>
      <c r="D112" s="1">
        <v>0.10290252044796901</v>
      </c>
      <c r="E112" s="1">
        <v>192</v>
      </c>
      <c r="F112" s="1">
        <v>12</v>
      </c>
      <c r="G112" s="1">
        <v>28.1667013888889</v>
      </c>
      <c r="H112" s="1">
        <v>6.25E-2</v>
      </c>
      <c r="I112" s="1">
        <v>1.5625E-2</v>
      </c>
      <c r="J112" s="1">
        <v>5</v>
      </c>
      <c r="K112" s="1">
        <v>2004</v>
      </c>
      <c r="L112" s="1"/>
      <c r="M112" s="1">
        <v>6.25E-2</v>
      </c>
      <c r="N112" s="1">
        <v>6.25E-2</v>
      </c>
      <c r="O112" s="1">
        <f>(N112-N111)/N111</f>
        <v>10.987499999999999</v>
      </c>
      <c r="P112" s="2">
        <v>38131</v>
      </c>
      <c r="Q112" s="1">
        <v>19</v>
      </c>
      <c r="R112" s="1"/>
    </row>
    <row r="113" spans="1:18" x14ac:dyDescent="0.2">
      <c r="A113" s="3">
        <v>112</v>
      </c>
      <c r="B113" s="2">
        <v>38139</v>
      </c>
      <c r="C113" s="1">
        <v>0.13735695879840301</v>
      </c>
      <c r="D113" s="1">
        <v>0.12795131405194601</v>
      </c>
      <c r="E113" s="1">
        <v>192</v>
      </c>
      <c r="F113" s="1">
        <v>3</v>
      </c>
      <c r="G113" s="1">
        <v>27.2246701388889</v>
      </c>
      <c r="H113" s="1">
        <v>1.5625E-2</v>
      </c>
      <c r="I113" s="1">
        <v>2.6041666666666699E-2</v>
      </c>
      <c r="J113" s="1">
        <v>6</v>
      </c>
      <c r="K113" s="1">
        <v>2004</v>
      </c>
      <c r="L113" s="1"/>
      <c r="M113" s="1">
        <v>1.5625E-2</v>
      </c>
      <c r="N113" s="1">
        <v>1.5625E-2</v>
      </c>
      <c r="O113" s="1">
        <f>(N113-N112)/N112</f>
        <v>-0.75</v>
      </c>
      <c r="P113" s="2">
        <v>38139</v>
      </c>
      <c r="Q113" s="1">
        <v>20</v>
      </c>
      <c r="R113" s="1"/>
    </row>
    <row r="114" spans="1:18" x14ac:dyDescent="0.2">
      <c r="A114" s="3">
        <v>113</v>
      </c>
      <c r="B114" s="2">
        <v>38147</v>
      </c>
      <c r="C114" s="1">
        <v>0.19639582523874399</v>
      </c>
      <c r="D114" s="1">
        <v>0.17461415131886801</v>
      </c>
      <c r="E114" s="1">
        <v>192</v>
      </c>
      <c r="F114" s="1">
        <v>5</v>
      </c>
      <c r="G114" s="1">
        <v>26.363975694444399</v>
      </c>
      <c r="H114" s="1">
        <v>2.6041666666666699E-2</v>
      </c>
      <c r="I114" s="1">
        <v>0.19791666666666699</v>
      </c>
      <c r="J114" s="1">
        <v>6</v>
      </c>
      <c r="K114" s="1">
        <v>2004</v>
      </c>
      <c r="L114" s="1"/>
      <c r="M114" s="1">
        <v>2.6041666666666699E-2</v>
      </c>
      <c r="N114" s="1">
        <v>2.6041666666666699E-2</v>
      </c>
      <c r="O114" s="1">
        <f>(N114-N113)/N113</f>
        <v>0.66666666666666874</v>
      </c>
      <c r="P114" s="2">
        <v>38147</v>
      </c>
      <c r="Q114" s="1">
        <v>21</v>
      </c>
      <c r="R114" s="1"/>
    </row>
    <row r="115" spans="1:18" x14ac:dyDescent="0.2">
      <c r="A115" s="3">
        <v>114</v>
      </c>
      <c r="B115" s="2">
        <v>38155</v>
      </c>
      <c r="C115" s="1">
        <v>0.17357005372907999</v>
      </c>
      <c r="D115" s="1">
        <v>0.162534214556217</v>
      </c>
      <c r="E115" s="1">
        <v>192</v>
      </c>
      <c r="F115" s="1">
        <v>38</v>
      </c>
      <c r="G115" s="1">
        <v>25.701614583333299</v>
      </c>
      <c r="H115" s="1">
        <v>0.19791666666666699</v>
      </c>
      <c r="I115" s="1">
        <v>9.5389507154213002E-2</v>
      </c>
      <c r="J115" s="1">
        <v>6</v>
      </c>
      <c r="K115" s="1">
        <v>2004</v>
      </c>
      <c r="L115" s="1"/>
      <c r="M115" s="1">
        <v>0.19791666666666699</v>
      </c>
      <c r="N115" s="1">
        <v>0.19791666666666699</v>
      </c>
      <c r="O115" s="1">
        <f>(N115-N114)/N114</f>
        <v>6.6000000000000023</v>
      </c>
      <c r="P115" s="2">
        <v>38155</v>
      </c>
      <c r="Q115" s="1">
        <v>22</v>
      </c>
      <c r="R115" s="1"/>
    </row>
    <row r="116" spans="1:18" x14ac:dyDescent="0.2">
      <c r="A116" s="3">
        <v>115</v>
      </c>
      <c r="B116" s="2">
        <v>38163</v>
      </c>
      <c r="C116" s="1">
        <v>0.185110697511738</v>
      </c>
      <c r="D116" s="1">
        <v>0.17500677953163801</v>
      </c>
      <c r="E116" s="1">
        <v>188.7</v>
      </c>
      <c r="F116" s="1">
        <v>18</v>
      </c>
      <c r="G116" s="1">
        <v>25.325885416666701</v>
      </c>
      <c r="H116" s="1">
        <v>9.5389507154213002E-2</v>
      </c>
      <c r="I116" s="1">
        <v>0.152187698161065</v>
      </c>
      <c r="J116" s="1">
        <v>6</v>
      </c>
      <c r="K116" s="1">
        <v>2004</v>
      </c>
      <c r="L116" s="1"/>
      <c r="M116" s="1">
        <v>9.5389507154213002E-2</v>
      </c>
      <c r="N116" s="1">
        <v>9.5389507154213002E-2</v>
      </c>
      <c r="O116" s="1">
        <f>(N116-N115)/N115</f>
        <v>-0.51803196385239825</v>
      </c>
      <c r="P116" s="2">
        <v>38163</v>
      </c>
      <c r="Q116" s="1">
        <v>23</v>
      </c>
      <c r="R116" s="1"/>
    </row>
    <row r="117" spans="1:18" x14ac:dyDescent="0.2">
      <c r="A117" s="3">
        <v>116</v>
      </c>
      <c r="B117" s="2">
        <v>38171</v>
      </c>
      <c r="C117" s="1">
        <v>0.20519698107031001</v>
      </c>
      <c r="D117" s="1">
        <v>0.174739730854829</v>
      </c>
      <c r="E117" s="1">
        <v>157.69999999999999</v>
      </c>
      <c r="F117" s="1">
        <v>24</v>
      </c>
      <c r="G117" s="1">
        <v>25.448437500000001</v>
      </c>
      <c r="H117" s="1">
        <v>0.152187698161065</v>
      </c>
      <c r="I117" s="1" t="s">
        <v>0</v>
      </c>
      <c r="J117" s="1">
        <v>7</v>
      </c>
      <c r="K117" s="1">
        <v>2004</v>
      </c>
      <c r="L117" s="1"/>
      <c r="M117" s="1">
        <v>0.152187698161065</v>
      </c>
      <c r="N117" s="1">
        <v>0.152187698161065</v>
      </c>
      <c r="O117" s="1">
        <f>(N117-N116)/N116</f>
        <v>0.59543436905516534</v>
      </c>
      <c r="P117" s="2">
        <v>38171</v>
      </c>
      <c r="Q117" s="1">
        <v>24</v>
      </c>
      <c r="R117" s="1"/>
    </row>
    <row r="118" spans="1:18" x14ac:dyDescent="0.2">
      <c r="A118" s="3">
        <v>117</v>
      </c>
      <c r="B118" s="2">
        <v>38179</v>
      </c>
      <c r="C118" s="1">
        <v>0.18321927037288499</v>
      </c>
      <c r="D118" s="1">
        <v>0.17775830626487699</v>
      </c>
      <c r="E118" s="1">
        <v>79.3</v>
      </c>
      <c r="F118" s="1">
        <v>19</v>
      </c>
      <c r="G118" s="1">
        <v>25.6767708333333</v>
      </c>
      <c r="H118" s="1" t="s">
        <v>0</v>
      </c>
      <c r="I118" s="1" t="s">
        <v>0</v>
      </c>
      <c r="J118" s="1">
        <v>7</v>
      </c>
      <c r="K118" s="1">
        <v>2004</v>
      </c>
      <c r="L118" s="1"/>
      <c r="M118" s="1">
        <v>0</v>
      </c>
      <c r="N118" s="1">
        <v>0</v>
      </c>
      <c r="O118" s="1">
        <f>(N118-N117)/N117</f>
        <v>-1</v>
      </c>
      <c r="P118" s="2">
        <v>38179</v>
      </c>
      <c r="Q118" s="1">
        <v>25</v>
      </c>
      <c r="R118" s="1"/>
    </row>
    <row r="119" spans="1:18" x14ac:dyDescent="0.2">
      <c r="A119" s="3">
        <v>118</v>
      </c>
      <c r="B119" s="2">
        <v>38187</v>
      </c>
      <c r="C119" s="1">
        <v>0.20401821673630199</v>
      </c>
      <c r="D119" s="1">
        <v>0.18782076239585899</v>
      </c>
      <c r="E119" s="1">
        <v>0</v>
      </c>
      <c r="F119" s="1">
        <v>0</v>
      </c>
      <c r="G119" s="1">
        <v>25.855954861111101</v>
      </c>
      <c r="H119" s="1" t="s">
        <v>0</v>
      </c>
      <c r="I119" s="1" t="s">
        <v>0</v>
      </c>
      <c r="J119" s="1">
        <v>7</v>
      </c>
      <c r="K119" s="1">
        <v>2004</v>
      </c>
      <c r="L119" s="1"/>
      <c r="M119" s="1">
        <v>0</v>
      </c>
      <c r="N119" s="1">
        <v>0</v>
      </c>
      <c r="O119" s="1" t="e">
        <f>(N119-N118)/N118</f>
        <v>#DIV/0!</v>
      </c>
      <c r="P119" s="2">
        <v>38187</v>
      </c>
      <c r="Q119" s="1">
        <v>26</v>
      </c>
      <c r="R119" s="1"/>
    </row>
    <row r="120" spans="1:18" x14ac:dyDescent="0.2">
      <c r="A120" s="3">
        <v>119</v>
      </c>
      <c r="B120" s="2">
        <v>38195</v>
      </c>
      <c r="C120" s="1">
        <v>0.19325613895219201</v>
      </c>
      <c r="D120" s="1">
        <v>0.196484332283338</v>
      </c>
      <c r="E120" s="1">
        <v>0</v>
      </c>
      <c r="F120" s="1">
        <v>0</v>
      </c>
      <c r="G120" s="1">
        <v>25.4794791666667</v>
      </c>
      <c r="H120" s="1" t="s">
        <v>0</v>
      </c>
      <c r="I120" s="1" t="s">
        <v>0</v>
      </c>
      <c r="J120" s="1">
        <v>7</v>
      </c>
      <c r="K120" s="1">
        <v>2004</v>
      </c>
      <c r="L120" s="1"/>
      <c r="M120" s="1">
        <v>0</v>
      </c>
      <c r="N120" s="1">
        <v>0</v>
      </c>
      <c r="O120" s="1" t="e">
        <f>(N120-N119)/N119</f>
        <v>#DIV/0!</v>
      </c>
      <c r="P120" s="2">
        <v>38195</v>
      </c>
      <c r="Q120" s="1">
        <v>27</v>
      </c>
      <c r="R120" s="1"/>
    </row>
    <row r="121" spans="1:18" x14ac:dyDescent="0.2">
      <c r="A121" s="3">
        <v>120</v>
      </c>
      <c r="B121" s="2">
        <v>38203</v>
      </c>
      <c r="C121" s="1">
        <v>0.18282281864611899</v>
      </c>
      <c r="D121" s="1">
        <v>0.17238069077332799</v>
      </c>
      <c r="E121" s="1">
        <v>0</v>
      </c>
      <c r="F121" s="1">
        <v>0</v>
      </c>
      <c r="G121" s="1">
        <v>25.483888888888899</v>
      </c>
      <c r="H121" s="1" t="s">
        <v>0</v>
      </c>
      <c r="I121" s="1" t="s">
        <v>0</v>
      </c>
      <c r="J121" s="1">
        <v>8</v>
      </c>
      <c r="K121" s="1">
        <v>2004</v>
      </c>
      <c r="L121" s="1"/>
      <c r="M121" s="1">
        <v>0</v>
      </c>
      <c r="N121" s="1">
        <v>0</v>
      </c>
      <c r="O121" s="1" t="e">
        <f>(N121-N120)/N120</f>
        <v>#DIV/0!</v>
      </c>
      <c r="P121" s="2">
        <v>38203</v>
      </c>
      <c r="Q121" s="1">
        <v>28</v>
      </c>
      <c r="R121" s="1"/>
    </row>
    <row r="122" spans="1:18" x14ac:dyDescent="0.2">
      <c r="A122" s="3">
        <v>121</v>
      </c>
      <c r="B122" s="2">
        <v>38211</v>
      </c>
      <c r="C122" s="1">
        <v>0.18860791603985599</v>
      </c>
      <c r="D122" s="1">
        <v>0.155537972847621</v>
      </c>
      <c r="E122" s="1">
        <v>0</v>
      </c>
      <c r="F122" s="1">
        <v>0</v>
      </c>
      <c r="G122" s="1">
        <v>25.567569444444398</v>
      </c>
      <c r="H122" s="1" t="s">
        <v>0</v>
      </c>
      <c r="I122" s="1" t="s">
        <v>0</v>
      </c>
      <c r="J122" s="1">
        <v>8</v>
      </c>
      <c r="K122" s="1">
        <v>2004</v>
      </c>
      <c r="L122" s="1"/>
      <c r="M122" s="1">
        <v>0</v>
      </c>
      <c r="N122" s="1">
        <v>0</v>
      </c>
      <c r="O122" s="1" t="e">
        <f>(N122-N121)/N121</f>
        <v>#DIV/0!</v>
      </c>
      <c r="P122" s="2">
        <v>38211</v>
      </c>
      <c r="Q122" s="1">
        <v>29</v>
      </c>
      <c r="R122" s="1"/>
    </row>
    <row r="123" spans="1:18" x14ac:dyDescent="0.2">
      <c r="A123" s="3">
        <v>122</v>
      </c>
      <c r="B123" s="2">
        <v>38219</v>
      </c>
      <c r="C123" s="1">
        <v>0.20699726655257999</v>
      </c>
      <c r="D123" s="1">
        <v>0.18161296347777001</v>
      </c>
      <c r="E123" s="1">
        <v>0</v>
      </c>
      <c r="F123" s="1">
        <v>0</v>
      </c>
      <c r="G123" s="1">
        <v>25.5439583333333</v>
      </c>
      <c r="H123" s="1" t="s">
        <v>0</v>
      </c>
      <c r="I123" s="1" t="s">
        <v>0</v>
      </c>
      <c r="J123" s="1">
        <v>8</v>
      </c>
      <c r="K123" s="1">
        <v>2004</v>
      </c>
      <c r="L123" s="1"/>
      <c r="M123" s="1">
        <v>0</v>
      </c>
      <c r="N123" s="1">
        <v>0</v>
      </c>
      <c r="O123" s="1" t="e">
        <f>(N123-N122)/N122</f>
        <v>#DIV/0!</v>
      </c>
      <c r="P123" s="2">
        <v>38219</v>
      </c>
      <c r="Q123" s="1">
        <v>30</v>
      </c>
      <c r="R123" s="1"/>
    </row>
    <row r="124" spans="1:18" x14ac:dyDescent="0.2">
      <c r="A124" s="3">
        <v>123</v>
      </c>
      <c r="B124" s="2">
        <v>38227</v>
      </c>
      <c r="C124" s="1">
        <v>0.21908953098150399</v>
      </c>
      <c r="D124" s="1">
        <v>0.20792987942695601</v>
      </c>
      <c r="E124" s="1">
        <v>0</v>
      </c>
      <c r="F124" s="1">
        <v>0</v>
      </c>
      <c r="G124" s="1">
        <v>25.435937500000001</v>
      </c>
      <c r="H124" s="1" t="s">
        <v>0</v>
      </c>
      <c r="I124" s="1" t="s">
        <v>0</v>
      </c>
      <c r="J124" s="1">
        <v>8</v>
      </c>
      <c r="K124" s="1">
        <v>2004</v>
      </c>
      <c r="L124" s="1"/>
      <c r="M124" s="1">
        <v>0</v>
      </c>
      <c r="N124" s="1">
        <v>0</v>
      </c>
      <c r="O124" s="1" t="e">
        <f>(N124-N123)/N123</f>
        <v>#DIV/0!</v>
      </c>
      <c r="P124" s="2">
        <v>38227</v>
      </c>
      <c r="Q124" s="1">
        <v>31</v>
      </c>
      <c r="R124" s="1"/>
    </row>
    <row r="125" spans="1:18" x14ac:dyDescent="0.2">
      <c r="A125" s="3">
        <v>124</v>
      </c>
      <c r="B125" s="2">
        <v>38235</v>
      </c>
      <c r="C125" s="1">
        <v>0.18984803450959101</v>
      </c>
      <c r="D125" s="1">
        <v>0.14150909334421199</v>
      </c>
      <c r="E125" s="1">
        <v>0</v>
      </c>
      <c r="F125" s="1">
        <v>0</v>
      </c>
      <c r="G125" s="1">
        <v>26.1364409722222</v>
      </c>
      <c r="H125" s="1" t="s">
        <v>0</v>
      </c>
      <c r="I125" s="1" t="s">
        <v>0</v>
      </c>
      <c r="J125" s="1">
        <v>9</v>
      </c>
      <c r="K125" s="1">
        <v>2004</v>
      </c>
      <c r="L125" s="1"/>
      <c r="M125" s="1">
        <v>0</v>
      </c>
      <c r="N125" s="1">
        <v>0</v>
      </c>
      <c r="O125" s="1" t="e">
        <f>(N125-N124)/N124</f>
        <v>#DIV/0!</v>
      </c>
      <c r="P125" s="2">
        <v>38235</v>
      </c>
      <c r="Q125" s="1">
        <v>32</v>
      </c>
      <c r="R125" s="1"/>
    </row>
    <row r="126" spans="1:18" x14ac:dyDescent="0.2">
      <c r="A126" s="3">
        <v>125</v>
      </c>
      <c r="B126" s="2">
        <v>38243</v>
      </c>
      <c r="C126" s="1">
        <v>0.19556355788264199</v>
      </c>
      <c r="D126" s="1">
        <v>0.15247784554958299</v>
      </c>
      <c r="E126" s="1">
        <v>37.700000000000003</v>
      </c>
      <c r="F126" s="1">
        <v>21</v>
      </c>
      <c r="G126" s="1">
        <v>26.553524305555602</v>
      </c>
      <c r="H126" s="1" t="s">
        <v>0</v>
      </c>
      <c r="I126" s="1">
        <v>0.88020833333333304</v>
      </c>
      <c r="J126" s="1">
        <v>9</v>
      </c>
      <c r="K126" s="1">
        <v>2004</v>
      </c>
      <c r="L126" s="1"/>
      <c r="M126" s="1">
        <v>0</v>
      </c>
      <c r="N126" s="1">
        <v>0</v>
      </c>
      <c r="O126" s="1" t="e">
        <f>(N126-N125)/N125</f>
        <v>#DIV/0!</v>
      </c>
      <c r="P126" s="2">
        <v>38243</v>
      </c>
      <c r="Q126" s="1">
        <v>33</v>
      </c>
      <c r="R126" s="1"/>
    </row>
    <row r="127" spans="1:18" x14ac:dyDescent="0.2">
      <c r="A127" s="3">
        <v>126</v>
      </c>
      <c r="B127" s="2">
        <v>38251</v>
      </c>
      <c r="C127" s="1">
        <v>0.13624876187670801</v>
      </c>
      <c r="D127" s="1">
        <v>0.124458501736323</v>
      </c>
      <c r="E127" s="1">
        <v>192</v>
      </c>
      <c r="F127" s="1">
        <v>169</v>
      </c>
      <c r="G127" s="1">
        <v>27.2890625</v>
      </c>
      <c r="H127" s="1">
        <v>0.88020833333333304</v>
      </c>
      <c r="I127" s="1">
        <v>0.921875</v>
      </c>
      <c r="J127" s="1">
        <v>9</v>
      </c>
      <c r="K127" s="1">
        <v>2004</v>
      </c>
      <c r="L127" s="1">
        <v>0.88020833333333304</v>
      </c>
      <c r="N127" s="1">
        <v>0.88020833333333304</v>
      </c>
      <c r="O127" s="1" t="e">
        <f>(N127-N126)/N126</f>
        <v>#DIV/0!</v>
      </c>
      <c r="P127" s="2">
        <v>38251</v>
      </c>
      <c r="Q127" s="1">
        <v>34</v>
      </c>
      <c r="R127" s="1"/>
    </row>
    <row r="128" spans="1:18" x14ac:dyDescent="0.2">
      <c r="A128" s="3">
        <v>127</v>
      </c>
      <c r="B128" s="2">
        <v>38259</v>
      </c>
      <c r="C128" s="1">
        <v>0.12817902805027101</v>
      </c>
      <c r="D128" s="1">
        <v>0.121011462062597</v>
      </c>
      <c r="E128" s="1">
        <v>192</v>
      </c>
      <c r="F128" s="1">
        <v>177</v>
      </c>
      <c r="G128" s="1">
        <v>27.2584027777778</v>
      </c>
      <c r="H128" s="1">
        <v>0.921875</v>
      </c>
      <c r="I128" s="1">
        <v>0.90813648293963301</v>
      </c>
      <c r="J128" s="1">
        <v>9</v>
      </c>
      <c r="K128" s="1">
        <v>2004</v>
      </c>
      <c r="L128" s="1">
        <v>0.921875</v>
      </c>
      <c r="N128" s="1">
        <v>0.921875</v>
      </c>
      <c r="O128" s="1">
        <f>(N128-N127)/N127</f>
        <v>4.7337278106509229E-2</v>
      </c>
      <c r="P128" s="2">
        <v>38259</v>
      </c>
      <c r="Q128" s="1">
        <v>35</v>
      </c>
      <c r="R128" s="1"/>
    </row>
    <row r="129" spans="1:18" x14ac:dyDescent="0.2">
      <c r="A129" s="3">
        <v>128</v>
      </c>
      <c r="B129" s="2">
        <v>38267</v>
      </c>
      <c r="C129" s="1">
        <v>0.14673167423877301</v>
      </c>
      <c r="D129" s="1">
        <v>0.141547484944264</v>
      </c>
      <c r="E129" s="1">
        <v>190.5</v>
      </c>
      <c r="F129" s="1">
        <v>173</v>
      </c>
      <c r="G129" s="1">
        <v>26.974027777777799</v>
      </c>
      <c r="H129" s="1">
        <v>0.90813648293963301</v>
      </c>
      <c r="I129" s="1">
        <v>0.46875</v>
      </c>
      <c r="J129" s="1">
        <v>10</v>
      </c>
      <c r="K129" s="1">
        <v>2004</v>
      </c>
      <c r="L129" s="1">
        <v>0.90813648293963301</v>
      </c>
      <c r="N129" s="1">
        <v>0.90813648293963301</v>
      </c>
      <c r="O129" s="1">
        <f>(N129-N128)/N128</f>
        <v>-1.4902798167177758E-2</v>
      </c>
      <c r="P129" s="5">
        <v>38267</v>
      </c>
      <c r="Q129" s="1">
        <v>36</v>
      </c>
      <c r="R129" s="1"/>
    </row>
    <row r="130" spans="1:18" x14ac:dyDescent="0.2">
      <c r="A130" s="3">
        <v>129</v>
      </c>
      <c r="B130" s="2">
        <v>38275</v>
      </c>
      <c r="C130" s="1">
        <v>0.17244443989225799</v>
      </c>
      <c r="D130" s="1">
        <v>0.15084199359019601</v>
      </c>
      <c r="E130" s="1">
        <v>192</v>
      </c>
      <c r="F130" s="1">
        <v>90</v>
      </c>
      <c r="G130" s="1">
        <v>27.203142361111102</v>
      </c>
      <c r="H130" s="1">
        <v>0.46875</v>
      </c>
      <c r="I130" s="1">
        <v>0.65104166666666696</v>
      </c>
      <c r="J130" s="1">
        <v>10</v>
      </c>
      <c r="K130" s="1">
        <v>2004</v>
      </c>
      <c r="L130" s="1"/>
      <c r="M130" s="1">
        <v>0.46875</v>
      </c>
      <c r="N130" s="1">
        <v>0.46875</v>
      </c>
      <c r="O130" s="4">
        <f>(N130-N129)/N129</f>
        <v>-0.4838330924855494</v>
      </c>
      <c r="P130" s="2">
        <v>38275</v>
      </c>
      <c r="Q130" s="1">
        <v>37</v>
      </c>
      <c r="R130" s="1"/>
    </row>
    <row r="131" spans="1:18" x14ac:dyDescent="0.2">
      <c r="A131" s="3">
        <v>130</v>
      </c>
      <c r="B131" s="2">
        <v>38283</v>
      </c>
      <c r="C131" s="1">
        <v>0.13143833733238</v>
      </c>
      <c r="D131" s="1">
        <v>0.130034250517686</v>
      </c>
      <c r="E131" s="1">
        <v>192</v>
      </c>
      <c r="F131" s="1">
        <v>125</v>
      </c>
      <c r="G131" s="1">
        <v>27.775190972222202</v>
      </c>
      <c r="H131" s="1">
        <v>0.65104166666666696</v>
      </c>
      <c r="I131" s="1">
        <v>1</v>
      </c>
      <c r="J131" s="1">
        <v>10</v>
      </c>
      <c r="K131" s="1">
        <v>2004</v>
      </c>
      <c r="L131" s="1"/>
      <c r="M131" s="1">
        <v>0.65104166666666696</v>
      </c>
      <c r="N131" s="1">
        <v>0.65104166666666696</v>
      </c>
      <c r="O131" s="1">
        <f>(N131-N130)/N130</f>
        <v>0.38888888888888951</v>
      </c>
      <c r="P131" s="2">
        <v>38283</v>
      </c>
      <c r="Q131" s="1">
        <v>38</v>
      </c>
      <c r="R131" s="1"/>
    </row>
    <row r="132" spans="1:18" x14ac:dyDescent="0.2">
      <c r="A132" s="3">
        <v>131</v>
      </c>
      <c r="B132" s="2">
        <v>38291</v>
      </c>
      <c r="C132" s="1">
        <v>0.127064707363851</v>
      </c>
      <c r="D132" s="1">
        <v>0.11417965590953801</v>
      </c>
      <c r="E132" s="1">
        <v>190.9</v>
      </c>
      <c r="F132" s="1">
        <v>190.9</v>
      </c>
      <c r="G132" s="1">
        <v>28.3003472222222</v>
      </c>
      <c r="H132" s="1">
        <v>1</v>
      </c>
      <c r="I132" s="1">
        <v>0.65625</v>
      </c>
      <c r="J132" s="1">
        <v>10</v>
      </c>
      <c r="K132" s="1">
        <v>2004</v>
      </c>
      <c r="L132" s="1">
        <v>1</v>
      </c>
      <c r="N132" s="1">
        <v>1</v>
      </c>
      <c r="O132" s="4">
        <f>(N132-N131)/N131</f>
        <v>0.53599999999999925</v>
      </c>
      <c r="P132" s="5">
        <v>38291</v>
      </c>
      <c r="Q132" s="1">
        <v>39</v>
      </c>
      <c r="R132" s="1"/>
    </row>
    <row r="133" spans="1:18" x14ac:dyDescent="0.2">
      <c r="A133" s="3">
        <v>132</v>
      </c>
      <c r="B133" s="6">
        <v>38299</v>
      </c>
      <c r="C133" s="1">
        <v>0.12628914415836301</v>
      </c>
      <c r="D133" s="1">
        <v>0.12690350164969799</v>
      </c>
      <c r="E133" s="1">
        <v>192</v>
      </c>
      <c r="F133" s="1">
        <v>126</v>
      </c>
      <c r="G133" s="1">
        <v>28.4747048611111</v>
      </c>
      <c r="H133" s="1">
        <v>0.65625</v>
      </c>
      <c r="I133" s="1">
        <v>1.0476689366160301E-2</v>
      </c>
      <c r="J133" s="1">
        <v>11</v>
      </c>
      <c r="K133" s="1">
        <v>2004</v>
      </c>
      <c r="L133" s="1">
        <v>0.65625</v>
      </c>
      <c r="N133" s="1">
        <v>0.65625</v>
      </c>
      <c r="O133" s="1">
        <f>(N133-N132)/N132</f>
        <v>-0.34375</v>
      </c>
      <c r="P133" s="6">
        <v>38299</v>
      </c>
      <c r="Q133" s="1">
        <v>40</v>
      </c>
      <c r="R133" s="1"/>
    </row>
    <row r="134" spans="1:18" x14ac:dyDescent="0.2">
      <c r="A134" s="3">
        <v>133</v>
      </c>
      <c r="B134" s="2">
        <v>38307</v>
      </c>
      <c r="C134" s="1">
        <v>0.13740014999046801</v>
      </c>
      <c r="D134" s="1">
        <v>0.125222027301788</v>
      </c>
      <c r="E134" s="1">
        <v>190.9</v>
      </c>
      <c r="F134" s="1">
        <v>2</v>
      </c>
      <c r="G134" s="1">
        <v>28.151527777777801</v>
      </c>
      <c r="H134" s="1">
        <v>1.0476689366160301E-2</v>
      </c>
      <c r="I134" s="1">
        <v>1.5625E-2</v>
      </c>
      <c r="J134" s="1">
        <v>11</v>
      </c>
      <c r="K134" s="1">
        <v>2004</v>
      </c>
      <c r="L134" s="1"/>
      <c r="M134" s="1">
        <v>1.0476689366160301E-2</v>
      </c>
      <c r="N134" s="1">
        <v>1.0476689366160301E-2</v>
      </c>
      <c r="O134" s="7">
        <f>(N134-N133)/N133</f>
        <v>-0.98403552096585101</v>
      </c>
      <c r="P134" s="2">
        <v>38307</v>
      </c>
      <c r="Q134" s="1">
        <v>41</v>
      </c>
      <c r="R134" s="1"/>
    </row>
    <row r="135" spans="1:18" x14ac:dyDescent="0.2">
      <c r="A135" s="3">
        <v>134</v>
      </c>
      <c r="B135" s="2">
        <v>38315</v>
      </c>
      <c r="C135" s="1">
        <v>0.17065622370976699</v>
      </c>
      <c r="D135" s="1">
        <v>0.163408440848192</v>
      </c>
      <c r="E135" s="1">
        <v>192</v>
      </c>
      <c r="F135" s="1">
        <v>3</v>
      </c>
      <c r="G135" s="1">
        <v>27.984027777777801</v>
      </c>
      <c r="H135" s="1">
        <v>1.5625E-2</v>
      </c>
      <c r="I135" s="1">
        <v>0.1875</v>
      </c>
      <c r="J135" s="1">
        <v>11</v>
      </c>
      <c r="K135" s="1">
        <v>2004</v>
      </c>
      <c r="L135" s="1"/>
      <c r="M135" s="1">
        <v>1.5625E-2</v>
      </c>
      <c r="N135" s="1">
        <v>1.5625E-2</v>
      </c>
      <c r="O135" s="1">
        <f>(N135-N134)/N134</f>
        <v>0.49140624999999893</v>
      </c>
      <c r="P135" s="2">
        <v>38315</v>
      </c>
      <c r="Q135" s="1">
        <v>42</v>
      </c>
      <c r="R135" s="1"/>
    </row>
    <row r="136" spans="1:18" x14ac:dyDescent="0.2">
      <c r="A136" s="3">
        <v>135</v>
      </c>
      <c r="B136" s="2">
        <v>38323</v>
      </c>
      <c r="C136" s="1">
        <v>0.17239205186536299</v>
      </c>
      <c r="D136" s="1">
        <v>0.15700013687213299</v>
      </c>
      <c r="E136" s="1">
        <v>192</v>
      </c>
      <c r="F136" s="1">
        <v>36</v>
      </c>
      <c r="G136" s="1">
        <v>28.380017361111101</v>
      </c>
      <c r="H136" s="1">
        <v>0.1875</v>
      </c>
      <c r="I136" s="1">
        <v>0.68229166666666696</v>
      </c>
      <c r="J136" s="1">
        <v>12</v>
      </c>
      <c r="K136" s="1">
        <v>2004</v>
      </c>
      <c r="L136" s="1"/>
      <c r="M136" s="1">
        <v>0.1875</v>
      </c>
      <c r="N136" s="1">
        <v>0.1875</v>
      </c>
      <c r="O136" s="1">
        <f>(N136-N135)/N135</f>
        <v>11</v>
      </c>
      <c r="P136" s="2">
        <v>38323</v>
      </c>
      <c r="Q136" s="1">
        <v>43</v>
      </c>
      <c r="R136" s="1"/>
    </row>
    <row r="137" spans="1:18" x14ac:dyDescent="0.2">
      <c r="A137" s="3">
        <v>136</v>
      </c>
      <c r="B137" s="2">
        <v>38331</v>
      </c>
      <c r="C137" s="1">
        <v>0.17275182425975799</v>
      </c>
      <c r="D137" s="1">
        <v>0.16026338934898399</v>
      </c>
      <c r="E137" s="1">
        <v>192</v>
      </c>
      <c r="F137" s="1">
        <v>131</v>
      </c>
      <c r="G137" s="1">
        <v>28.6310416666667</v>
      </c>
      <c r="H137" s="1">
        <v>0.68229166666666696</v>
      </c>
      <c r="I137" s="1">
        <v>4.6875E-2</v>
      </c>
      <c r="J137" s="1">
        <v>12</v>
      </c>
      <c r="K137" s="1">
        <v>2004</v>
      </c>
      <c r="L137" s="1"/>
      <c r="M137" s="1">
        <v>0.68229166666666696</v>
      </c>
      <c r="N137" s="1">
        <v>0.68229166666666696</v>
      </c>
      <c r="O137" s="1">
        <f>(N137-N136)/N136</f>
        <v>2.6388888888888906</v>
      </c>
      <c r="P137" s="2">
        <v>38331</v>
      </c>
      <c r="Q137" s="1">
        <v>44</v>
      </c>
      <c r="R137" s="1"/>
    </row>
    <row r="138" spans="1:18" x14ac:dyDescent="0.2">
      <c r="A138" s="3">
        <v>137</v>
      </c>
      <c r="B138" s="2">
        <v>38339</v>
      </c>
      <c r="C138" s="1">
        <v>0.14274060448422199</v>
      </c>
      <c r="D138" s="1">
        <v>0.141308305164178</v>
      </c>
      <c r="E138" s="1">
        <v>192</v>
      </c>
      <c r="F138" s="1">
        <v>9</v>
      </c>
      <c r="G138" s="1">
        <v>28.846163194444401</v>
      </c>
      <c r="H138" s="1">
        <v>4.6875E-2</v>
      </c>
      <c r="I138" s="1">
        <v>0.15972222222222199</v>
      </c>
      <c r="J138" s="1">
        <v>12</v>
      </c>
      <c r="K138" s="1">
        <v>2004</v>
      </c>
      <c r="L138" s="1"/>
      <c r="M138" s="1">
        <v>4.6875E-2</v>
      </c>
      <c r="N138" s="1">
        <v>4.6875E-2</v>
      </c>
      <c r="O138" s="1">
        <f>(N138-N137)/N137</f>
        <v>-0.93129770992366412</v>
      </c>
      <c r="P138" s="2">
        <v>38339</v>
      </c>
      <c r="Q138" s="1">
        <v>45</v>
      </c>
      <c r="R138" s="1"/>
    </row>
    <row r="139" spans="1:18" x14ac:dyDescent="0.2">
      <c r="A139" s="3">
        <v>138</v>
      </c>
      <c r="B139" s="2">
        <v>38347</v>
      </c>
      <c r="C139" s="1">
        <v>0.100479347076977</v>
      </c>
      <c r="D139" s="1">
        <v>7.7859405428171199E-2</v>
      </c>
      <c r="E139" s="1">
        <v>144</v>
      </c>
      <c r="F139" s="1">
        <v>23</v>
      </c>
      <c r="G139" s="1">
        <v>28.807592592592599</v>
      </c>
      <c r="H139" s="1">
        <v>0.15972222222222199</v>
      </c>
      <c r="I139" s="1">
        <v>3.125E-2</v>
      </c>
      <c r="J139" s="1">
        <v>12</v>
      </c>
      <c r="K139" s="1">
        <v>2004</v>
      </c>
      <c r="L139" s="1"/>
      <c r="M139" s="1">
        <v>0.15972222222222199</v>
      </c>
      <c r="N139" s="1">
        <v>0.15972222222222199</v>
      </c>
      <c r="O139" s="1">
        <f>(N139-N138)/N138</f>
        <v>2.4074074074074026</v>
      </c>
      <c r="P139" s="2">
        <v>38347</v>
      </c>
      <c r="Q139" s="1">
        <v>46</v>
      </c>
      <c r="R139" s="1"/>
    </row>
    <row r="140" spans="1:18" x14ac:dyDescent="0.2">
      <c r="A140" s="3">
        <v>139</v>
      </c>
      <c r="B140" s="2">
        <v>38353</v>
      </c>
      <c r="C140" s="1">
        <v>9.0519321741672598E-2</v>
      </c>
      <c r="D140" s="1">
        <v>7.7418271452188506E-2</v>
      </c>
      <c r="E140" s="1">
        <v>192</v>
      </c>
      <c r="F140" s="1">
        <v>6</v>
      </c>
      <c r="G140" s="1">
        <v>28.752361111111099</v>
      </c>
      <c r="H140" s="1">
        <v>3.125E-2</v>
      </c>
      <c r="I140" s="1">
        <v>0</v>
      </c>
      <c r="J140" s="1">
        <v>1</v>
      </c>
      <c r="K140" s="1">
        <v>2005</v>
      </c>
      <c r="L140" s="1"/>
      <c r="M140" s="1">
        <v>3.125E-2</v>
      </c>
      <c r="N140" s="1">
        <v>3.125E-2</v>
      </c>
      <c r="O140" s="1">
        <f>(N140-N139)/N139</f>
        <v>-0.80434782608695621</v>
      </c>
      <c r="P140" s="2">
        <v>38353</v>
      </c>
      <c r="Q140" s="1">
        <v>1</v>
      </c>
      <c r="R140" s="1"/>
    </row>
    <row r="141" spans="1:18" x14ac:dyDescent="0.2">
      <c r="A141" s="3">
        <v>140</v>
      </c>
      <c r="B141" s="2">
        <v>38361</v>
      </c>
      <c r="C141" s="1">
        <v>9.1533786137781195E-2</v>
      </c>
      <c r="D141" s="1">
        <v>7.5042345871527999E-2</v>
      </c>
      <c r="E141" s="1">
        <v>191.9</v>
      </c>
      <c r="F141" s="1">
        <v>0</v>
      </c>
      <c r="G141" s="1">
        <v>29.4158333333333</v>
      </c>
      <c r="H141" s="1">
        <v>0</v>
      </c>
      <c r="I141" s="1">
        <v>5.2083333333333296E-3</v>
      </c>
      <c r="J141" s="1">
        <v>1</v>
      </c>
      <c r="K141" s="1">
        <v>2005</v>
      </c>
      <c r="L141" s="1"/>
      <c r="M141" s="1">
        <v>1E-3</v>
      </c>
      <c r="N141" s="1">
        <v>1E-3</v>
      </c>
      <c r="O141" s="1">
        <f>(N141-N140)/N140</f>
        <v>-0.96799999999999997</v>
      </c>
      <c r="P141" s="2">
        <v>38361</v>
      </c>
      <c r="Q141" s="1">
        <v>2</v>
      </c>
      <c r="R141" s="1"/>
    </row>
    <row r="142" spans="1:18" x14ac:dyDescent="0.2">
      <c r="A142" s="3">
        <v>141</v>
      </c>
      <c r="B142" s="2">
        <v>38369</v>
      </c>
      <c r="C142" s="1">
        <v>8.4028139239154698E-2</v>
      </c>
      <c r="D142" s="1">
        <v>7.3594573885202394E-2</v>
      </c>
      <c r="E142" s="1">
        <v>192</v>
      </c>
      <c r="F142" s="1">
        <v>1</v>
      </c>
      <c r="G142" s="1">
        <v>29.787569444444401</v>
      </c>
      <c r="H142" s="1">
        <v>5.2083333333333296E-3</v>
      </c>
      <c r="I142" s="1">
        <v>0</v>
      </c>
      <c r="J142" s="1">
        <v>1</v>
      </c>
      <c r="K142" s="1">
        <v>2005</v>
      </c>
      <c r="L142" s="1"/>
      <c r="M142" s="1">
        <v>5.2083333333333296E-3</v>
      </c>
      <c r="N142" s="1">
        <v>5.2083333333333296E-3</v>
      </c>
      <c r="O142" s="1">
        <f>(N142-N141)/N141</f>
        <v>4.2083333333333295</v>
      </c>
      <c r="P142" s="2">
        <v>38369</v>
      </c>
      <c r="Q142" s="1">
        <v>3</v>
      </c>
      <c r="R142" s="1"/>
    </row>
    <row r="143" spans="1:18" x14ac:dyDescent="0.2">
      <c r="A143" s="3">
        <v>142</v>
      </c>
      <c r="B143" s="2">
        <v>38377</v>
      </c>
      <c r="C143" s="1">
        <v>0.113043126196433</v>
      </c>
      <c r="D143" s="1" t="s">
        <v>0</v>
      </c>
      <c r="E143" s="1">
        <v>192</v>
      </c>
      <c r="F143" s="1">
        <v>0</v>
      </c>
      <c r="G143" s="1">
        <v>29.20734375</v>
      </c>
      <c r="H143" s="1">
        <v>0</v>
      </c>
      <c r="I143" s="1">
        <v>0.25520833333333298</v>
      </c>
      <c r="J143" s="1">
        <v>1</v>
      </c>
      <c r="K143" s="1">
        <v>2005</v>
      </c>
      <c r="L143" s="1"/>
      <c r="M143" s="1">
        <v>1E-3</v>
      </c>
      <c r="N143" s="1">
        <v>1E-3</v>
      </c>
      <c r="O143" s="1">
        <f>(N143-N142)/N142</f>
        <v>-0.80799999999999983</v>
      </c>
      <c r="P143" s="2">
        <v>38377</v>
      </c>
      <c r="Q143" s="1">
        <v>4</v>
      </c>
      <c r="R143" s="1"/>
    </row>
    <row r="144" spans="1:18" x14ac:dyDescent="0.2">
      <c r="A144" s="3">
        <v>143</v>
      </c>
      <c r="B144" s="2">
        <v>38385</v>
      </c>
      <c r="C144" s="1">
        <v>7.3521767836064095E-2</v>
      </c>
      <c r="D144" s="1">
        <v>7.2255961596965804E-2</v>
      </c>
      <c r="E144" s="1">
        <v>192</v>
      </c>
      <c r="F144" s="1">
        <v>49</v>
      </c>
      <c r="G144" s="1">
        <v>28.971493055555602</v>
      </c>
      <c r="H144" s="1">
        <v>0.25520833333333298</v>
      </c>
      <c r="I144" s="1">
        <v>0</v>
      </c>
      <c r="J144" s="1">
        <v>2</v>
      </c>
      <c r="K144" s="1">
        <v>2005</v>
      </c>
      <c r="L144" s="1"/>
      <c r="M144" s="1">
        <v>0.25520833333333298</v>
      </c>
      <c r="N144" s="1">
        <v>0.25520833333333298</v>
      </c>
      <c r="O144" s="1">
        <f>(N144-N143)/N143</f>
        <v>254.20833333333297</v>
      </c>
      <c r="P144" s="2">
        <v>38385</v>
      </c>
      <c r="Q144" s="1">
        <v>5</v>
      </c>
      <c r="R144" s="1"/>
    </row>
    <row r="145" spans="1:18" x14ac:dyDescent="0.2">
      <c r="A145" s="3">
        <v>144</v>
      </c>
      <c r="B145" s="2">
        <v>38393</v>
      </c>
      <c r="C145" s="1">
        <v>8.5358604228338297E-2</v>
      </c>
      <c r="D145" s="1">
        <v>6.4320214092731504E-2</v>
      </c>
      <c r="E145" s="1">
        <v>192</v>
      </c>
      <c r="F145" s="1">
        <v>0</v>
      </c>
      <c r="G145" s="1">
        <v>28.708993055555599</v>
      </c>
      <c r="H145" s="1">
        <v>0</v>
      </c>
      <c r="I145" s="1">
        <v>1.0416666666666701E-2</v>
      </c>
      <c r="J145" s="1">
        <v>2</v>
      </c>
      <c r="K145" s="1">
        <v>2005</v>
      </c>
      <c r="L145" s="1"/>
      <c r="M145" s="1">
        <v>1E-3</v>
      </c>
      <c r="N145" s="1">
        <v>1E-3</v>
      </c>
      <c r="O145" s="1">
        <f>(N145-N144)/N144</f>
        <v>-0.99608163265306127</v>
      </c>
      <c r="P145" s="2">
        <v>38393</v>
      </c>
      <c r="Q145" s="1">
        <v>6</v>
      </c>
      <c r="R145" s="1"/>
    </row>
    <row r="146" spans="1:18" x14ac:dyDescent="0.2">
      <c r="A146" s="3">
        <v>145</v>
      </c>
      <c r="B146" s="2">
        <v>38401</v>
      </c>
      <c r="C146" s="1">
        <v>9.19357511447743E-2</v>
      </c>
      <c r="D146" s="1" t="s">
        <v>0</v>
      </c>
      <c r="E146" s="1">
        <v>192</v>
      </c>
      <c r="F146" s="1">
        <v>2</v>
      </c>
      <c r="G146" s="1">
        <v>29.0164930555556</v>
      </c>
      <c r="H146" s="1">
        <v>1.0416666666666701E-2</v>
      </c>
      <c r="I146" s="1">
        <v>0</v>
      </c>
      <c r="J146" s="1">
        <v>2</v>
      </c>
      <c r="K146" s="1">
        <v>2005</v>
      </c>
      <c r="L146" s="1"/>
      <c r="M146" s="1">
        <v>1.0416666666666701E-2</v>
      </c>
      <c r="N146" s="1">
        <v>1.0416666666666701E-2</v>
      </c>
      <c r="O146" s="1">
        <f>(N146-N145)/N145</f>
        <v>9.4166666666667016</v>
      </c>
      <c r="P146" s="2">
        <v>38401</v>
      </c>
      <c r="Q146" s="1">
        <v>7</v>
      </c>
      <c r="R146" s="1"/>
    </row>
    <row r="147" spans="1:18" x14ac:dyDescent="0.2">
      <c r="A147" s="3">
        <v>146</v>
      </c>
      <c r="B147" s="2">
        <v>38409</v>
      </c>
      <c r="C147" s="1">
        <v>9.1428816009908001E-2</v>
      </c>
      <c r="D147" s="1">
        <v>8.103288585941E-2</v>
      </c>
      <c r="E147" s="1">
        <v>192</v>
      </c>
      <c r="F147" s="1">
        <v>0</v>
      </c>
      <c r="G147" s="1">
        <v>30.254427083333301</v>
      </c>
      <c r="H147" s="1">
        <v>0</v>
      </c>
      <c r="I147" s="1">
        <v>5.2083333333333296E-3</v>
      </c>
      <c r="J147" s="1">
        <v>2</v>
      </c>
      <c r="K147" s="1">
        <v>2005</v>
      </c>
      <c r="L147" s="1"/>
      <c r="M147" s="1">
        <v>1E-3</v>
      </c>
      <c r="N147" s="1">
        <v>1E-3</v>
      </c>
      <c r="O147" s="1">
        <f>(N147-N146)/N146</f>
        <v>-0.90400000000000036</v>
      </c>
      <c r="P147" s="2">
        <v>38409</v>
      </c>
      <c r="Q147" s="1">
        <v>8</v>
      </c>
      <c r="R147" s="1"/>
    </row>
    <row r="148" spans="1:18" x14ac:dyDescent="0.2">
      <c r="A148" s="3">
        <v>147</v>
      </c>
      <c r="B148" s="2">
        <v>38417</v>
      </c>
      <c r="C148" s="1">
        <v>9.0201952841860306E-2</v>
      </c>
      <c r="D148" s="1">
        <v>8.0894170949856403E-2</v>
      </c>
      <c r="E148" s="1">
        <v>192</v>
      </c>
      <c r="F148" s="1">
        <v>1</v>
      </c>
      <c r="G148" s="1">
        <v>30.314149305555599</v>
      </c>
      <c r="H148" s="1">
        <v>5.2083333333333296E-3</v>
      </c>
      <c r="I148" s="1" t="s">
        <v>0</v>
      </c>
      <c r="J148" s="1">
        <v>3</v>
      </c>
      <c r="K148" s="1">
        <v>2005</v>
      </c>
      <c r="L148" s="1"/>
      <c r="M148" s="1">
        <v>5.2083333333333296E-3</v>
      </c>
      <c r="N148" s="1">
        <v>5.2083333333333296E-3</v>
      </c>
      <c r="O148" s="1">
        <f>(N148-N147)/N147</f>
        <v>4.2083333333333295</v>
      </c>
      <c r="P148" s="2">
        <v>38417</v>
      </c>
      <c r="Q148" s="1">
        <v>9</v>
      </c>
      <c r="R148" s="1"/>
    </row>
    <row r="149" spans="1:18" x14ac:dyDescent="0.2">
      <c r="A149" s="3">
        <v>148</v>
      </c>
      <c r="B149" s="2">
        <v>38425</v>
      </c>
      <c r="C149" s="1">
        <v>8.7106134764541501E-2</v>
      </c>
      <c r="D149" s="1">
        <v>8.1295803189277593E-2</v>
      </c>
      <c r="E149" s="1">
        <v>41.1</v>
      </c>
      <c r="F149" s="1">
        <v>0</v>
      </c>
      <c r="G149" s="1">
        <v>29.898767361111101</v>
      </c>
      <c r="H149" s="1" t="s">
        <v>0</v>
      </c>
      <c r="I149" s="1">
        <v>0</v>
      </c>
      <c r="J149" s="1">
        <v>3</v>
      </c>
      <c r="K149" s="1">
        <v>2005</v>
      </c>
      <c r="L149" s="1"/>
      <c r="M149" s="1">
        <v>0</v>
      </c>
      <c r="N149" s="1">
        <v>0</v>
      </c>
      <c r="O149" s="1">
        <f>(N149-N148)/N148</f>
        <v>-1</v>
      </c>
      <c r="P149" s="2">
        <v>38425</v>
      </c>
      <c r="Q149" s="1">
        <v>10</v>
      </c>
      <c r="R149" s="1"/>
    </row>
    <row r="150" spans="1:18" x14ac:dyDescent="0.2">
      <c r="A150" s="3">
        <v>149</v>
      </c>
      <c r="B150" s="2">
        <v>38433</v>
      </c>
      <c r="C150" s="1">
        <v>8.4887816333735502E-2</v>
      </c>
      <c r="D150" s="1">
        <v>7.7460492650667803E-2</v>
      </c>
      <c r="E150" s="1">
        <v>162.9</v>
      </c>
      <c r="F150" s="1">
        <v>0</v>
      </c>
      <c r="G150" s="1">
        <v>29.639722222222201</v>
      </c>
      <c r="H150" s="1">
        <v>0</v>
      </c>
      <c r="I150" s="1">
        <v>3.125E-2</v>
      </c>
      <c r="J150" s="1">
        <v>3</v>
      </c>
      <c r="K150" s="1">
        <v>2005</v>
      </c>
      <c r="L150" s="1"/>
      <c r="M150" s="1">
        <v>1E-3</v>
      </c>
      <c r="N150" s="1">
        <v>1E-3</v>
      </c>
      <c r="O150" s="1" t="e">
        <f>(N150-N149)/N149</f>
        <v>#DIV/0!</v>
      </c>
      <c r="P150" s="2">
        <v>38433</v>
      </c>
      <c r="Q150" s="1">
        <v>11</v>
      </c>
      <c r="R150" s="1"/>
    </row>
    <row r="151" spans="1:18" x14ac:dyDescent="0.2">
      <c r="A151" s="3">
        <v>150</v>
      </c>
      <c r="B151" s="2">
        <v>38441</v>
      </c>
      <c r="C151" s="1">
        <v>0.11793462612799201</v>
      </c>
      <c r="D151" s="1" t="s">
        <v>0</v>
      </c>
      <c r="E151" s="1">
        <v>192</v>
      </c>
      <c r="F151" s="1">
        <v>6</v>
      </c>
      <c r="G151" s="1">
        <v>29.0031597222222</v>
      </c>
      <c r="H151" s="1">
        <v>3.125E-2</v>
      </c>
      <c r="I151" s="1">
        <v>0</v>
      </c>
      <c r="J151" s="1">
        <v>3</v>
      </c>
      <c r="K151" s="1">
        <v>2005</v>
      </c>
      <c r="L151" s="1"/>
      <c r="M151" s="1">
        <v>3.125E-2</v>
      </c>
      <c r="N151" s="1">
        <v>3.125E-2</v>
      </c>
      <c r="O151" s="1">
        <f>(N151-N150)/N150</f>
        <v>30.25</v>
      </c>
      <c r="P151" s="2">
        <v>38441</v>
      </c>
      <c r="Q151" s="1">
        <v>12</v>
      </c>
      <c r="R151" s="1"/>
    </row>
    <row r="152" spans="1:18" x14ac:dyDescent="0.2">
      <c r="A152" s="3">
        <v>151</v>
      </c>
      <c r="B152" s="2">
        <v>38449</v>
      </c>
      <c r="C152" s="1">
        <v>9.4314091326393304E-2</v>
      </c>
      <c r="D152" s="1">
        <v>8.0081055561701503E-2</v>
      </c>
      <c r="E152" s="1">
        <v>192</v>
      </c>
      <c r="F152" s="1">
        <v>0</v>
      </c>
      <c r="G152" s="1">
        <v>29.626666666666701</v>
      </c>
      <c r="H152" s="1">
        <v>0</v>
      </c>
      <c r="I152" s="1">
        <v>0.140625</v>
      </c>
      <c r="J152" s="1">
        <v>4</v>
      </c>
      <c r="K152" s="1">
        <v>2005</v>
      </c>
      <c r="L152" s="1"/>
      <c r="M152" s="1">
        <v>1E-3</v>
      </c>
      <c r="N152" s="1">
        <v>1E-3</v>
      </c>
      <c r="O152" s="1">
        <f>(N152-N151)/N151</f>
        <v>-0.96799999999999997</v>
      </c>
      <c r="P152" s="2">
        <v>38449</v>
      </c>
      <c r="Q152" s="1">
        <v>13</v>
      </c>
      <c r="R152" s="1"/>
    </row>
    <row r="153" spans="1:18" x14ac:dyDescent="0.2">
      <c r="A153" s="3">
        <v>152</v>
      </c>
      <c r="B153" s="2">
        <v>38457</v>
      </c>
      <c r="C153" s="1">
        <v>8.7881916483654801E-2</v>
      </c>
      <c r="D153" s="1">
        <v>8.1437246253093107E-2</v>
      </c>
      <c r="E153" s="1">
        <v>192</v>
      </c>
      <c r="F153" s="1">
        <v>27</v>
      </c>
      <c r="G153" s="1">
        <v>29.687482638888898</v>
      </c>
      <c r="H153" s="1">
        <v>0.140625</v>
      </c>
      <c r="I153" s="1">
        <v>0</v>
      </c>
      <c r="J153" s="1">
        <v>4</v>
      </c>
      <c r="K153" s="1">
        <v>2005</v>
      </c>
      <c r="L153" s="1"/>
      <c r="M153" s="1">
        <v>0.140625</v>
      </c>
      <c r="N153" s="1">
        <v>0.140625</v>
      </c>
      <c r="O153" s="1">
        <f>(N153-N152)/N152</f>
        <v>139.625</v>
      </c>
      <c r="P153" s="2">
        <v>38457</v>
      </c>
      <c r="Q153" s="1">
        <v>14</v>
      </c>
      <c r="R153" s="1"/>
    </row>
    <row r="154" spans="1:18" x14ac:dyDescent="0.2">
      <c r="A154" s="3">
        <v>153</v>
      </c>
      <c r="B154" s="2">
        <v>38465</v>
      </c>
      <c r="C154" s="1">
        <v>0.107349619442067</v>
      </c>
      <c r="D154" s="1">
        <v>7.0516984909772901E-2</v>
      </c>
      <c r="E154" s="1">
        <v>192</v>
      </c>
      <c r="F154" s="1">
        <v>0</v>
      </c>
      <c r="G154" s="1">
        <v>28.955625000000001</v>
      </c>
      <c r="H154" s="1">
        <v>0</v>
      </c>
      <c r="I154" s="1">
        <v>5.2083333333333296E-3</v>
      </c>
      <c r="J154" s="1">
        <v>4</v>
      </c>
      <c r="K154" s="1">
        <v>2005</v>
      </c>
      <c r="L154" s="1"/>
      <c r="M154" s="1">
        <v>1E-3</v>
      </c>
      <c r="N154" s="1">
        <v>1E-3</v>
      </c>
      <c r="O154" s="1">
        <f>(N154-N153)/N153</f>
        <v>-0.99288888888888893</v>
      </c>
      <c r="P154" s="2">
        <v>38465</v>
      </c>
      <c r="Q154" s="1">
        <v>15</v>
      </c>
      <c r="R154" s="1"/>
    </row>
    <row r="155" spans="1:18" x14ac:dyDescent="0.2">
      <c r="A155" s="3">
        <v>154</v>
      </c>
      <c r="B155" s="2">
        <v>38473</v>
      </c>
      <c r="C155" s="1">
        <v>0.125931028008996</v>
      </c>
      <c r="D155" s="1">
        <v>0.11803127452731101</v>
      </c>
      <c r="E155" s="1">
        <v>192</v>
      </c>
      <c r="F155" s="1">
        <v>1</v>
      </c>
      <c r="G155" s="1">
        <v>28.576579861111099</v>
      </c>
      <c r="H155" s="1">
        <v>5.2083333333333296E-3</v>
      </c>
      <c r="I155" s="1">
        <v>1.0416666666666701E-2</v>
      </c>
      <c r="J155" s="1">
        <v>5</v>
      </c>
      <c r="K155" s="1">
        <v>2005</v>
      </c>
      <c r="L155" s="1"/>
      <c r="M155" s="1">
        <v>5.2083333333333296E-3</v>
      </c>
      <c r="N155" s="1">
        <v>5.2083333333333296E-3</v>
      </c>
      <c r="O155" s="1">
        <f>(N155-N154)/N154</f>
        <v>4.2083333333333295</v>
      </c>
      <c r="P155" s="2">
        <v>38473</v>
      </c>
      <c r="Q155" s="1">
        <v>16</v>
      </c>
      <c r="R155" s="1"/>
    </row>
    <row r="156" spans="1:18" x14ac:dyDescent="0.2">
      <c r="A156" s="3">
        <v>155</v>
      </c>
      <c r="B156" s="2">
        <v>38481</v>
      </c>
      <c r="C156" s="1">
        <v>0.118948905028888</v>
      </c>
      <c r="D156" s="1">
        <v>0.12012050300836601</v>
      </c>
      <c r="E156" s="1">
        <v>192</v>
      </c>
      <c r="F156" s="1">
        <v>2</v>
      </c>
      <c r="G156" s="1">
        <v>28.821684027777799</v>
      </c>
      <c r="H156" s="1">
        <v>1.0416666666666701E-2</v>
      </c>
      <c r="I156" s="1">
        <v>5.7291666666666699E-2</v>
      </c>
      <c r="J156" s="1">
        <v>5</v>
      </c>
      <c r="K156" s="1">
        <v>2005</v>
      </c>
      <c r="L156" s="1"/>
      <c r="M156" s="1">
        <v>1.0416666666666701E-2</v>
      </c>
      <c r="N156" s="1">
        <v>1.0416666666666701E-2</v>
      </c>
      <c r="O156" s="1">
        <f>(N156-N155)/N155</f>
        <v>1.000000000000008</v>
      </c>
      <c r="P156" s="2">
        <v>38481</v>
      </c>
      <c r="Q156" s="1">
        <v>17</v>
      </c>
      <c r="R156" s="1"/>
    </row>
    <row r="157" spans="1:18" x14ac:dyDescent="0.2">
      <c r="A157" s="3">
        <v>156</v>
      </c>
      <c r="B157" s="2">
        <v>38489</v>
      </c>
      <c r="C157" s="1">
        <v>0.120631251624733</v>
      </c>
      <c r="D157" s="1">
        <v>0.113216333091259</v>
      </c>
      <c r="E157" s="1">
        <v>192</v>
      </c>
      <c r="F157" s="1">
        <v>11</v>
      </c>
      <c r="G157" s="1">
        <v>28.728559027777798</v>
      </c>
      <c r="H157" s="1">
        <v>5.7291666666666699E-2</v>
      </c>
      <c r="I157" s="1">
        <v>0.119791666666667</v>
      </c>
      <c r="J157" s="1">
        <v>5</v>
      </c>
      <c r="K157" s="1">
        <v>2005</v>
      </c>
      <c r="L157" s="1"/>
      <c r="M157" s="1">
        <v>5.7291666666666699E-2</v>
      </c>
      <c r="N157" s="1">
        <v>5.7291666666666699E-2</v>
      </c>
      <c r="O157" s="1">
        <f>(N157-N156)/N156</f>
        <v>4.4999999999999849</v>
      </c>
      <c r="P157" s="2">
        <v>38489</v>
      </c>
      <c r="Q157" s="1">
        <v>18</v>
      </c>
      <c r="R157" s="1"/>
    </row>
    <row r="158" spans="1:18" x14ac:dyDescent="0.2">
      <c r="A158" s="3">
        <v>157</v>
      </c>
      <c r="B158" s="2">
        <v>38497</v>
      </c>
      <c r="C158" s="1">
        <v>0.12808390623013599</v>
      </c>
      <c r="D158" s="1">
        <v>0.120350494980812</v>
      </c>
      <c r="E158" s="1">
        <v>192</v>
      </c>
      <c r="F158" s="1">
        <v>23</v>
      </c>
      <c r="G158" s="1">
        <v>28.6025868055556</v>
      </c>
      <c r="H158" s="1">
        <v>0.119791666666667</v>
      </c>
      <c r="I158" s="1">
        <v>0.22395833333333301</v>
      </c>
      <c r="J158" s="1">
        <v>5</v>
      </c>
      <c r="K158" s="1">
        <v>2005</v>
      </c>
      <c r="L158" s="1"/>
      <c r="M158" s="1">
        <v>0.119791666666667</v>
      </c>
      <c r="N158" s="1">
        <v>0.119791666666667</v>
      </c>
      <c r="O158" s="1">
        <f>(N158-N157)/N157</f>
        <v>1.0909090909090957</v>
      </c>
      <c r="P158" s="2">
        <v>38497</v>
      </c>
      <c r="Q158" s="1">
        <v>19</v>
      </c>
      <c r="R158" s="1"/>
    </row>
    <row r="159" spans="1:18" x14ac:dyDescent="0.2">
      <c r="A159" s="3">
        <v>158</v>
      </c>
      <c r="B159" s="2">
        <v>38505</v>
      </c>
      <c r="C159" s="1">
        <v>0.153883857848613</v>
      </c>
      <c r="D159" s="1">
        <v>0.146188740928968</v>
      </c>
      <c r="E159" s="1">
        <v>192</v>
      </c>
      <c r="F159" s="1">
        <v>43</v>
      </c>
      <c r="G159" s="1">
        <v>28.010486111111099</v>
      </c>
      <c r="H159" s="1">
        <v>0.22395833333333301</v>
      </c>
      <c r="I159" s="1">
        <v>0.22916666666666699</v>
      </c>
      <c r="J159" s="1">
        <v>6</v>
      </c>
      <c r="K159" s="1">
        <v>2005</v>
      </c>
      <c r="L159" s="1"/>
      <c r="M159" s="1">
        <v>0.22395833333333301</v>
      </c>
      <c r="N159" s="1">
        <v>0.22395833333333301</v>
      </c>
      <c r="O159" s="1">
        <f>(N159-N158)/N158</f>
        <v>0.86956521739129633</v>
      </c>
      <c r="P159" s="2">
        <v>38505</v>
      </c>
      <c r="Q159" s="1">
        <v>20</v>
      </c>
      <c r="R159" s="1"/>
    </row>
    <row r="160" spans="1:18" x14ac:dyDescent="0.2">
      <c r="A160" s="3">
        <v>159</v>
      </c>
      <c r="B160" s="2">
        <v>38513</v>
      </c>
      <c r="C160" s="1">
        <v>0.18136615847193099</v>
      </c>
      <c r="D160" s="1">
        <v>0.18709794183572101</v>
      </c>
      <c r="E160" s="1">
        <v>192</v>
      </c>
      <c r="F160" s="1">
        <v>44</v>
      </c>
      <c r="G160" s="1">
        <v>27.2421527777778</v>
      </c>
      <c r="H160" s="1">
        <v>0.22916666666666699</v>
      </c>
      <c r="I160" s="1">
        <v>0.84375</v>
      </c>
      <c r="J160" s="1">
        <v>6</v>
      </c>
      <c r="K160" s="1">
        <v>2005</v>
      </c>
      <c r="L160" s="1"/>
      <c r="M160" s="1">
        <v>0.22916666666666699</v>
      </c>
      <c r="N160" s="1">
        <v>0.22916666666666699</v>
      </c>
      <c r="O160" s="1">
        <f>(N160-N159)/N159</f>
        <v>2.3255813953491297E-2</v>
      </c>
      <c r="P160" s="2">
        <v>38513</v>
      </c>
      <c r="Q160" s="1">
        <v>21</v>
      </c>
      <c r="R160" s="1"/>
    </row>
    <row r="161" spans="1:18" x14ac:dyDescent="0.2">
      <c r="A161" s="3">
        <v>160</v>
      </c>
      <c r="B161" s="2">
        <v>38521</v>
      </c>
      <c r="C161" s="1">
        <v>0.19935969841776399</v>
      </c>
      <c r="D161" s="1">
        <v>0.17478462308645201</v>
      </c>
      <c r="E161" s="1">
        <v>192</v>
      </c>
      <c r="F161" s="1">
        <v>162</v>
      </c>
      <c r="G161" s="1">
        <v>26.6369097222222</v>
      </c>
      <c r="H161" s="1">
        <v>0.84375</v>
      </c>
      <c r="I161" s="1">
        <v>0.890625</v>
      </c>
      <c r="J161" s="1">
        <v>6</v>
      </c>
      <c r="K161" s="1">
        <v>2005</v>
      </c>
      <c r="L161" s="1"/>
      <c r="M161" s="1">
        <v>0.84375</v>
      </c>
      <c r="N161" s="1">
        <v>0.84375</v>
      </c>
      <c r="O161" s="1">
        <f>(N161-N160)/N160</f>
        <v>2.6818181818181768</v>
      </c>
      <c r="P161" s="2">
        <v>38521</v>
      </c>
      <c r="Q161" s="1">
        <v>22</v>
      </c>
      <c r="R161" s="1"/>
    </row>
    <row r="162" spans="1:18" x14ac:dyDescent="0.2">
      <c r="A162" s="3">
        <v>161</v>
      </c>
      <c r="B162" s="2">
        <v>38529</v>
      </c>
      <c r="C162" s="1">
        <v>0.23996091470915901</v>
      </c>
      <c r="D162" s="1">
        <v>0.23223626365264299</v>
      </c>
      <c r="E162" s="1">
        <v>192</v>
      </c>
      <c r="F162" s="1">
        <v>171</v>
      </c>
      <c r="G162" s="1">
        <v>26.4601909722222</v>
      </c>
      <c r="H162" s="1">
        <v>0.890625</v>
      </c>
      <c r="I162" s="1">
        <v>0.83854166666666696</v>
      </c>
      <c r="J162" s="1">
        <v>6</v>
      </c>
      <c r="K162" s="1">
        <v>2005</v>
      </c>
      <c r="L162" s="1"/>
      <c r="M162" s="1">
        <v>0.890625</v>
      </c>
      <c r="N162" s="1">
        <v>0.890625</v>
      </c>
      <c r="O162" s="1">
        <f>(N162-N161)/N161</f>
        <v>5.5555555555555552E-2</v>
      </c>
      <c r="P162" s="2">
        <v>38529</v>
      </c>
      <c r="Q162" s="1">
        <v>23</v>
      </c>
      <c r="R162" s="1"/>
    </row>
    <row r="163" spans="1:18" x14ac:dyDescent="0.2">
      <c r="A163" s="3">
        <v>162</v>
      </c>
      <c r="B163" s="2">
        <v>38537</v>
      </c>
      <c r="C163" s="1">
        <v>0.25552439359490697</v>
      </c>
      <c r="D163" s="1">
        <v>0.27787509560585</v>
      </c>
      <c r="E163" s="1">
        <v>192</v>
      </c>
      <c r="F163" s="1">
        <v>161</v>
      </c>
      <c r="G163" s="1">
        <v>26.137569444444399</v>
      </c>
      <c r="H163" s="1">
        <v>0.83854166666666696</v>
      </c>
      <c r="I163" s="1">
        <v>0.77083333333333304</v>
      </c>
      <c r="J163" s="1">
        <v>7</v>
      </c>
      <c r="K163" s="1">
        <v>2005</v>
      </c>
      <c r="L163" s="1"/>
      <c r="M163" s="1">
        <v>0.83854166666666696</v>
      </c>
      <c r="N163" s="1">
        <v>0.83854166666666696</v>
      </c>
      <c r="O163" s="1">
        <f>(N163-N162)/N162</f>
        <v>-5.8479532163742361E-2</v>
      </c>
      <c r="P163" s="2">
        <v>38537</v>
      </c>
      <c r="Q163" s="1">
        <v>24</v>
      </c>
      <c r="R163" s="1"/>
    </row>
    <row r="164" spans="1:18" x14ac:dyDescent="0.2">
      <c r="A164" s="3">
        <v>163</v>
      </c>
      <c r="B164" s="2">
        <v>38545</v>
      </c>
      <c r="C164" s="1">
        <v>0.232832010290245</v>
      </c>
      <c r="D164" s="1">
        <v>0.23872742801904701</v>
      </c>
      <c r="E164" s="1">
        <v>192</v>
      </c>
      <c r="F164" s="1">
        <v>148</v>
      </c>
      <c r="G164" s="1">
        <v>26.057500000000001</v>
      </c>
      <c r="H164" s="1">
        <v>0.77083333333333304</v>
      </c>
      <c r="I164" s="1">
        <v>0.640625</v>
      </c>
      <c r="J164" s="1">
        <v>7</v>
      </c>
      <c r="K164" s="1">
        <v>2005</v>
      </c>
      <c r="L164" s="1"/>
      <c r="M164" s="1">
        <v>0.77083333333333304</v>
      </c>
      <c r="N164" s="1">
        <v>0.77083333333333304</v>
      </c>
      <c r="O164" s="1">
        <f>(N164-N163)/N163</f>
        <v>-8.0745341614907512E-2</v>
      </c>
      <c r="P164" s="2">
        <v>38545</v>
      </c>
      <c r="Q164" s="1">
        <v>25</v>
      </c>
      <c r="R164" s="1"/>
    </row>
    <row r="165" spans="1:18" x14ac:dyDescent="0.2">
      <c r="A165" s="3">
        <v>164</v>
      </c>
      <c r="B165" s="2">
        <v>38553</v>
      </c>
      <c r="C165" s="1">
        <v>0.25940040653273899</v>
      </c>
      <c r="D165" s="1">
        <v>0.26674604912598898</v>
      </c>
      <c r="E165" s="1">
        <v>192</v>
      </c>
      <c r="F165" s="1">
        <v>123</v>
      </c>
      <c r="G165" s="1">
        <v>26.2714236111111</v>
      </c>
      <c r="H165" s="1">
        <v>0.640625</v>
      </c>
      <c r="I165" s="1">
        <v>0.79166666666666696</v>
      </c>
      <c r="J165" s="1">
        <v>7</v>
      </c>
      <c r="K165" s="1">
        <v>2005</v>
      </c>
      <c r="L165" s="1"/>
      <c r="M165" s="1">
        <v>0.640625</v>
      </c>
      <c r="N165" s="1">
        <v>0.640625</v>
      </c>
      <c r="O165" s="1">
        <f>(N165-N164)/N164</f>
        <v>-0.16891891891891861</v>
      </c>
      <c r="P165" s="2">
        <v>38553</v>
      </c>
      <c r="Q165" s="1">
        <v>26</v>
      </c>
      <c r="R165" s="1"/>
    </row>
    <row r="166" spans="1:18" x14ac:dyDescent="0.2">
      <c r="A166" s="3">
        <v>165</v>
      </c>
      <c r="B166" s="6">
        <v>38561</v>
      </c>
      <c r="C166" s="1">
        <v>0.23609853399223099</v>
      </c>
      <c r="D166" s="1">
        <v>0.26055812835693398</v>
      </c>
      <c r="E166" s="1">
        <v>192</v>
      </c>
      <c r="F166" s="1">
        <v>152</v>
      </c>
      <c r="G166" s="1">
        <v>26.3525520833333</v>
      </c>
      <c r="H166" s="1">
        <v>0.79166666666666696</v>
      </c>
      <c r="I166" s="1">
        <v>0.99468085106382997</v>
      </c>
      <c r="J166" s="1">
        <v>7</v>
      </c>
      <c r="K166" s="1">
        <v>2005</v>
      </c>
      <c r="L166" s="1">
        <v>0.79166666666666696</v>
      </c>
      <c r="N166" s="1">
        <v>0.79166666666666696</v>
      </c>
      <c r="O166" s="7">
        <f>(N166-N165)/N165</f>
        <v>0.23577235772357769</v>
      </c>
      <c r="P166" s="6">
        <v>38561</v>
      </c>
      <c r="Q166" s="1">
        <v>27</v>
      </c>
      <c r="R166" s="1"/>
    </row>
    <row r="167" spans="1:18" x14ac:dyDescent="0.2">
      <c r="A167" s="3">
        <v>166</v>
      </c>
      <c r="B167" s="2">
        <v>38569</v>
      </c>
      <c r="C167" s="1">
        <v>0.229701094374512</v>
      </c>
      <c r="D167" s="1">
        <v>0.23822407672802601</v>
      </c>
      <c r="E167" s="1">
        <v>188</v>
      </c>
      <c r="F167" s="1">
        <v>187</v>
      </c>
      <c r="G167" s="1">
        <v>26.270138888888901</v>
      </c>
      <c r="H167" s="1">
        <v>0.99468085106382997</v>
      </c>
      <c r="I167" s="1">
        <v>0.98436685773840504</v>
      </c>
      <c r="J167" s="1">
        <v>8</v>
      </c>
      <c r="K167" s="1">
        <v>2005</v>
      </c>
      <c r="L167" s="1">
        <v>0.99468085106382997</v>
      </c>
      <c r="N167" s="1">
        <v>0.99468085106382997</v>
      </c>
      <c r="O167" s="1">
        <f>(N167-N166)/N166</f>
        <v>0.25643896976483738</v>
      </c>
      <c r="P167" s="2">
        <v>38569</v>
      </c>
      <c r="Q167" s="1">
        <v>28</v>
      </c>
      <c r="R167" s="1"/>
    </row>
    <row r="168" spans="1:18" x14ac:dyDescent="0.2">
      <c r="A168" s="3">
        <v>167</v>
      </c>
      <c r="B168" s="2">
        <v>38577</v>
      </c>
      <c r="C168" s="1">
        <v>0.24408526736462199</v>
      </c>
      <c r="D168" s="1">
        <v>0.23311714331309</v>
      </c>
      <c r="E168" s="1">
        <v>191.9</v>
      </c>
      <c r="F168" s="1">
        <v>188.9</v>
      </c>
      <c r="G168" s="1">
        <v>26.3940625</v>
      </c>
      <c r="H168" s="1">
        <v>0.98436685773840504</v>
      </c>
      <c r="I168" s="1">
        <v>0.89577905158936899</v>
      </c>
      <c r="J168" s="1">
        <v>8</v>
      </c>
      <c r="K168" s="1">
        <v>2005</v>
      </c>
      <c r="L168" s="1">
        <v>0.98436685773840504</v>
      </c>
      <c r="N168" s="1">
        <v>0.98436685773840504</v>
      </c>
      <c r="O168" s="1">
        <f>(N168-N167)/N167</f>
        <v>-1.0369148369945918E-2</v>
      </c>
      <c r="P168" s="2">
        <v>38577</v>
      </c>
      <c r="Q168" s="1">
        <v>29</v>
      </c>
      <c r="R168" s="1"/>
    </row>
    <row r="169" spans="1:18" x14ac:dyDescent="0.2">
      <c r="A169" s="3">
        <v>168</v>
      </c>
      <c r="B169" s="2">
        <v>38585</v>
      </c>
      <c r="C169" s="1">
        <v>0.20978030633358699</v>
      </c>
      <c r="D169" s="1">
        <v>0.19558742394049999</v>
      </c>
      <c r="E169" s="1">
        <v>191.9</v>
      </c>
      <c r="F169" s="1">
        <v>171.9</v>
      </c>
      <c r="G169" s="1">
        <v>26.615086805555599</v>
      </c>
      <c r="H169" s="1">
        <v>0.89577905158936899</v>
      </c>
      <c r="I169" s="1">
        <v>0.96354166666666696</v>
      </c>
      <c r="J169" s="1">
        <v>8</v>
      </c>
      <c r="K169" s="1">
        <v>2005</v>
      </c>
      <c r="L169" s="1">
        <v>0.89577905158936899</v>
      </c>
      <c r="N169" s="1">
        <v>0.89577905158936899</v>
      </c>
      <c r="O169" s="1">
        <f>(N169-N168)/N168</f>
        <v>-8.9994706193753438E-2</v>
      </c>
      <c r="P169" s="2">
        <v>38585</v>
      </c>
      <c r="Q169" s="1">
        <v>30</v>
      </c>
      <c r="R169" s="1"/>
    </row>
    <row r="170" spans="1:18" x14ac:dyDescent="0.2">
      <c r="A170" s="3">
        <v>169</v>
      </c>
      <c r="B170" s="2">
        <v>38593</v>
      </c>
      <c r="C170" s="1">
        <v>0.21415251876781</v>
      </c>
      <c r="D170" s="1">
        <v>0.18907824407021201</v>
      </c>
      <c r="E170" s="1">
        <v>192</v>
      </c>
      <c r="F170" s="1">
        <v>185</v>
      </c>
      <c r="G170" s="1">
        <v>26.84765625</v>
      </c>
      <c r="H170" s="1">
        <v>0.96354166666666696</v>
      </c>
      <c r="I170" s="1">
        <v>0.97916666666666696</v>
      </c>
      <c r="J170" s="1">
        <v>8</v>
      </c>
      <c r="K170" s="1">
        <v>2005</v>
      </c>
      <c r="L170" s="1">
        <v>0.96354166666666696</v>
      </c>
      <c r="N170" s="1">
        <v>0.96354166666666696</v>
      </c>
      <c r="O170" s="1">
        <f>(N170-N169)/N169</f>
        <v>7.5646572619741059E-2</v>
      </c>
      <c r="P170" s="2">
        <v>38593</v>
      </c>
      <c r="Q170" s="1">
        <v>31</v>
      </c>
      <c r="R170" s="1"/>
    </row>
    <row r="171" spans="1:18" x14ac:dyDescent="0.2">
      <c r="A171" s="3">
        <v>170</v>
      </c>
      <c r="B171" s="2">
        <v>38601</v>
      </c>
      <c r="C171" s="1">
        <v>0.16190578266532099</v>
      </c>
      <c r="D171" s="1">
        <v>0.15744799872239401</v>
      </c>
      <c r="E171" s="1">
        <v>192</v>
      </c>
      <c r="F171" s="1">
        <v>188</v>
      </c>
      <c r="G171" s="1">
        <v>27.617534722222199</v>
      </c>
      <c r="H171" s="1">
        <v>0.97916666666666696</v>
      </c>
      <c r="I171" s="1">
        <v>0.64583333333333304</v>
      </c>
      <c r="J171" s="1">
        <v>9</v>
      </c>
      <c r="K171" s="1">
        <v>2005</v>
      </c>
      <c r="L171" s="1">
        <v>0.97916666666666696</v>
      </c>
      <c r="N171" s="1">
        <v>0.97916666666666696</v>
      </c>
      <c r="O171" s="1">
        <f>(N171-N170)/N170</f>
        <v>1.621621621621621E-2</v>
      </c>
      <c r="P171" s="5">
        <v>38601</v>
      </c>
      <c r="Q171" s="1">
        <v>32</v>
      </c>
      <c r="R171" s="1"/>
    </row>
    <row r="172" spans="1:18" x14ac:dyDescent="0.2">
      <c r="A172" s="3">
        <v>171</v>
      </c>
      <c r="B172" s="2">
        <v>38609</v>
      </c>
      <c r="C172" s="1">
        <v>0.13279021531343499</v>
      </c>
      <c r="D172" s="1">
        <v>0.12984041497111301</v>
      </c>
      <c r="E172" s="1">
        <v>192</v>
      </c>
      <c r="F172" s="1">
        <v>124</v>
      </c>
      <c r="G172" s="1">
        <v>27.757482638888899</v>
      </c>
      <c r="H172" s="1">
        <v>0.64583333333333304</v>
      </c>
      <c r="I172" s="1">
        <v>0.734375</v>
      </c>
      <c r="J172" s="1">
        <v>9</v>
      </c>
      <c r="K172" s="1">
        <v>2005</v>
      </c>
      <c r="M172" s="1">
        <v>0.64583333333333304</v>
      </c>
      <c r="N172" s="1">
        <v>0.64583333333333304</v>
      </c>
      <c r="O172" s="4">
        <f>(N172-N171)/N171</f>
        <v>-0.34042553191489411</v>
      </c>
      <c r="P172" s="2">
        <v>38609</v>
      </c>
      <c r="Q172" s="1">
        <v>33</v>
      </c>
      <c r="R172" s="1"/>
    </row>
    <row r="173" spans="1:18" x14ac:dyDescent="0.2">
      <c r="A173" s="3">
        <v>172</v>
      </c>
      <c r="B173" s="2">
        <v>38617</v>
      </c>
      <c r="C173" s="1">
        <v>0.138016025136624</v>
      </c>
      <c r="D173" s="1">
        <v>0.125751052051783</v>
      </c>
      <c r="E173" s="1">
        <v>192</v>
      </c>
      <c r="F173" s="1">
        <v>141</v>
      </c>
      <c r="G173" s="1">
        <v>27.5500347222222</v>
      </c>
      <c r="H173" s="1">
        <v>0.734375</v>
      </c>
      <c r="I173" s="1">
        <v>0.53125</v>
      </c>
      <c r="J173" s="1">
        <v>9</v>
      </c>
      <c r="K173" s="1">
        <v>2005</v>
      </c>
      <c r="M173" s="1">
        <v>0.734375</v>
      </c>
      <c r="N173" s="1">
        <v>0.734375</v>
      </c>
      <c r="O173" s="1">
        <f>(N173-N172)/N172</f>
        <v>0.1370967741935489</v>
      </c>
      <c r="P173" s="2">
        <v>38617</v>
      </c>
      <c r="Q173" s="1">
        <v>34</v>
      </c>
      <c r="R173" s="1"/>
    </row>
    <row r="174" spans="1:18" x14ac:dyDescent="0.2">
      <c r="A174" s="3">
        <v>173</v>
      </c>
      <c r="B174" s="2">
        <v>38625</v>
      </c>
      <c r="C174" s="1">
        <v>0.16700461674481601</v>
      </c>
      <c r="D174" s="1">
        <v>0.15650491664807001</v>
      </c>
      <c r="E174" s="1">
        <v>192</v>
      </c>
      <c r="F174" s="1">
        <v>102</v>
      </c>
      <c r="G174" s="1">
        <v>27.4899826388889</v>
      </c>
      <c r="H174" s="1">
        <v>0.53125</v>
      </c>
      <c r="I174" s="1">
        <v>0.875</v>
      </c>
      <c r="J174" s="1">
        <v>9</v>
      </c>
      <c r="K174" s="1">
        <v>2005</v>
      </c>
      <c r="L174" s="1"/>
      <c r="M174" s="1">
        <v>0.53125</v>
      </c>
      <c r="N174" s="1">
        <v>0.53125</v>
      </c>
      <c r="O174" s="1">
        <f>(N174-N173)/N173</f>
        <v>-0.27659574468085107</v>
      </c>
      <c r="P174" s="2">
        <v>38625</v>
      </c>
      <c r="Q174" s="1">
        <v>35</v>
      </c>
      <c r="R174" s="1"/>
    </row>
    <row r="175" spans="1:18" x14ac:dyDescent="0.2">
      <c r="A175" s="3">
        <v>174</v>
      </c>
      <c r="B175" s="2">
        <v>38633</v>
      </c>
      <c r="C175" s="1">
        <v>0.12636024146698999</v>
      </c>
      <c r="D175" s="1">
        <v>0.13273207545280499</v>
      </c>
      <c r="E175" s="1">
        <v>192</v>
      </c>
      <c r="F175" s="1">
        <v>168</v>
      </c>
      <c r="G175" s="1">
        <v>27.834739583333299</v>
      </c>
      <c r="H175" s="1">
        <v>0.875</v>
      </c>
      <c r="I175" s="1">
        <v>0.88541666666666696</v>
      </c>
      <c r="J175" s="1">
        <v>10</v>
      </c>
      <c r="K175" s="1">
        <v>2005</v>
      </c>
      <c r="L175" s="1"/>
      <c r="M175" s="1">
        <v>0.875</v>
      </c>
      <c r="N175" s="1">
        <v>0.875</v>
      </c>
      <c r="O175" s="1">
        <f>(N175-N174)/N174</f>
        <v>0.6470588235294118</v>
      </c>
      <c r="P175" s="2">
        <v>38633</v>
      </c>
      <c r="Q175" s="1">
        <v>36</v>
      </c>
      <c r="R175" s="1"/>
    </row>
    <row r="176" spans="1:18" x14ac:dyDescent="0.2">
      <c r="A176" s="3">
        <v>175</v>
      </c>
      <c r="B176" s="2">
        <v>38641</v>
      </c>
      <c r="C176" s="1">
        <v>0.112796674053112</v>
      </c>
      <c r="D176" s="1">
        <v>9.8422991732756301E-2</v>
      </c>
      <c r="E176" s="1">
        <v>192</v>
      </c>
      <c r="F176" s="1">
        <v>170</v>
      </c>
      <c r="G176" s="1">
        <v>27.9313888888889</v>
      </c>
      <c r="H176" s="1">
        <v>0.88541666666666696</v>
      </c>
      <c r="I176" s="1">
        <v>0.56770833333333304</v>
      </c>
      <c r="J176" s="1">
        <v>10</v>
      </c>
      <c r="K176" s="1">
        <v>2005</v>
      </c>
      <c r="L176" s="1"/>
      <c r="M176" s="1">
        <v>0.88541666666666696</v>
      </c>
      <c r="N176" s="1">
        <v>0.88541666666666696</v>
      </c>
      <c r="O176" s="1">
        <f>(N176-N175)/N175</f>
        <v>1.1904761904762242E-2</v>
      </c>
      <c r="P176" s="2">
        <v>38641</v>
      </c>
      <c r="Q176" s="1">
        <v>37</v>
      </c>
      <c r="R176" s="1"/>
    </row>
    <row r="177" spans="1:18" x14ac:dyDescent="0.2">
      <c r="A177" s="3">
        <v>176</v>
      </c>
      <c r="B177" s="6">
        <v>38649</v>
      </c>
      <c r="C177" s="1">
        <v>0.18351851372669101</v>
      </c>
      <c r="D177" s="1">
        <v>0.15229618549346899</v>
      </c>
      <c r="E177" s="1">
        <v>192</v>
      </c>
      <c r="F177" s="1">
        <v>109</v>
      </c>
      <c r="G177" s="1">
        <v>27.857569444444401</v>
      </c>
      <c r="H177" s="1">
        <v>0.56770833333333304</v>
      </c>
      <c r="I177" s="1">
        <v>1.5625E-2</v>
      </c>
      <c r="J177" s="1">
        <v>10</v>
      </c>
      <c r="K177" s="1">
        <v>2005</v>
      </c>
      <c r="L177" s="1"/>
      <c r="M177" s="1">
        <v>0.56770833333333304</v>
      </c>
      <c r="N177" s="1">
        <v>0.56770833333333304</v>
      </c>
      <c r="O177" s="1">
        <f>(N177-N176)/N176</f>
        <v>-0.35882352941176526</v>
      </c>
      <c r="P177" s="2">
        <v>38649</v>
      </c>
      <c r="Q177" s="1">
        <v>38</v>
      </c>
      <c r="R177" s="1"/>
    </row>
    <row r="178" spans="1:18" x14ac:dyDescent="0.2">
      <c r="A178" s="3">
        <v>177</v>
      </c>
      <c r="B178" s="2">
        <v>38657</v>
      </c>
      <c r="C178" s="1">
        <v>0.16320154236422599</v>
      </c>
      <c r="D178" s="1" t="s">
        <v>0</v>
      </c>
      <c r="E178" s="1">
        <v>192</v>
      </c>
      <c r="F178" s="1">
        <v>3</v>
      </c>
      <c r="G178" s="1">
        <v>27.559548611111101</v>
      </c>
      <c r="H178" s="1">
        <v>1.5625E-2</v>
      </c>
      <c r="I178" s="1">
        <v>0</v>
      </c>
      <c r="J178" s="1">
        <v>11</v>
      </c>
      <c r="K178" s="1">
        <v>2005</v>
      </c>
      <c r="L178" s="1"/>
      <c r="M178" s="1">
        <v>1.5625E-2</v>
      </c>
      <c r="N178" s="1">
        <v>1.5625E-2</v>
      </c>
      <c r="O178" s="1">
        <f>(N178-N177)/N177</f>
        <v>-0.97247706422018343</v>
      </c>
      <c r="P178" s="2">
        <v>38657</v>
      </c>
      <c r="Q178" s="1">
        <v>39</v>
      </c>
      <c r="R178" s="1"/>
    </row>
    <row r="179" spans="1:18" x14ac:dyDescent="0.2">
      <c r="A179" s="3">
        <v>178</v>
      </c>
      <c r="B179" s="2">
        <v>38665</v>
      </c>
      <c r="C179" s="1">
        <v>0.160166522679907</v>
      </c>
      <c r="D179" s="1">
        <v>0.15596929937601101</v>
      </c>
      <c r="E179" s="1">
        <v>192</v>
      </c>
      <c r="F179" s="1">
        <v>0</v>
      </c>
      <c r="G179" s="1">
        <v>27.816927083333301</v>
      </c>
      <c r="H179" s="1">
        <v>0</v>
      </c>
      <c r="I179" s="1">
        <v>0</v>
      </c>
      <c r="J179" s="1">
        <v>11</v>
      </c>
      <c r="K179" s="1">
        <v>2005</v>
      </c>
      <c r="L179" s="1"/>
      <c r="M179" s="1">
        <v>1E-3</v>
      </c>
      <c r="N179" s="1">
        <v>1E-3</v>
      </c>
      <c r="O179" s="1">
        <f>(N179-N178)/N178</f>
        <v>-0.93599999999999994</v>
      </c>
      <c r="P179" s="2">
        <v>38665</v>
      </c>
      <c r="Q179" s="1">
        <v>40</v>
      </c>
      <c r="R179" s="1"/>
    </row>
    <row r="180" spans="1:18" x14ac:dyDescent="0.2">
      <c r="A180" s="3">
        <v>179</v>
      </c>
      <c r="B180" s="2">
        <v>38673</v>
      </c>
      <c r="C180" s="1">
        <v>0.141580697700117</v>
      </c>
      <c r="D180" s="1">
        <v>0.133328425387541</v>
      </c>
      <c r="E180" s="1">
        <v>192</v>
      </c>
      <c r="F180" s="1">
        <v>0</v>
      </c>
      <c r="G180" s="1">
        <v>27.9479166666667</v>
      </c>
      <c r="H180" s="1">
        <v>0</v>
      </c>
      <c r="I180" s="1">
        <v>0</v>
      </c>
      <c r="J180" s="1">
        <v>11</v>
      </c>
      <c r="K180" s="1">
        <v>2005</v>
      </c>
      <c r="L180" s="1"/>
      <c r="M180" s="1">
        <v>1E-3</v>
      </c>
      <c r="N180" s="1">
        <v>1E-3</v>
      </c>
      <c r="O180" s="1">
        <f>(N180-N179)/N179</f>
        <v>0</v>
      </c>
      <c r="P180" s="2">
        <v>38673</v>
      </c>
      <c r="Q180" s="1">
        <v>41</v>
      </c>
      <c r="R180" s="1"/>
    </row>
    <row r="181" spans="1:18" x14ac:dyDescent="0.2">
      <c r="A181" s="3">
        <v>180</v>
      </c>
      <c r="B181" s="2">
        <v>38681</v>
      </c>
      <c r="C181" s="1">
        <v>0.15058163359496701</v>
      </c>
      <c r="D181" s="1">
        <v>0.145707050959269</v>
      </c>
      <c r="E181" s="1">
        <v>192</v>
      </c>
      <c r="F181" s="1">
        <v>0</v>
      </c>
      <c r="G181" s="1">
        <v>28.576006944444401</v>
      </c>
      <c r="H181" s="1">
        <v>0</v>
      </c>
      <c r="I181" s="1">
        <v>0</v>
      </c>
      <c r="J181" s="1">
        <v>11</v>
      </c>
      <c r="K181" s="1">
        <v>2005</v>
      </c>
      <c r="L181" s="1"/>
      <c r="M181" s="1">
        <v>1E-3</v>
      </c>
      <c r="N181" s="1">
        <v>1E-3</v>
      </c>
      <c r="O181" s="1">
        <f>(N181-N180)/N180</f>
        <v>0</v>
      </c>
      <c r="P181" s="2">
        <v>38681</v>
      </c>
      <c r="Q181" s="1">
        <v>42</v>
      </c>
      <c r="R181" s="1"/>
    </row>
    <row r="182" spans="1:18" x14ac:dyDescent="0.2">
      <c r="A182" s="3">
        <v>181</v>
      </c>
      <c r="B182" s="2">
        <v>38689</v>
      </c>
      <c r="C182" s="1">
        <v>0.16543252651508</v>
      </c>
      <c r="D182" s="1">
        <v>0.13549608488877601</v>
      </c>
      <c r="E182" s="1">
        <v>192</v>
      </c>
      <c r="F182" s="1">
        <v>0</v>
      </c>
      <c r="G182" s="1">
        <v>28.720086805555599</v>
      </c>
      <c r="H182" s="1">
        <v>0</v>
      </c>
      <c r="I182" s="1">
        <v>0</v>
      </c>
      <c r="J182" s="1">
        <v>12</v>
      </c>
      <c r="K182" s="1">
        <v>2005</v>
      </c>
      <c r="L182" s="1"/>
      <c r="M182" s="1">
        <v>1E-3</v>
      </c>
      <c r="N182" s="1">
        <v>1E-3</v>
      </c>
      <c r="O182" s="1">
        <f>(N182-N181)/N181</f>
        <v>0</v>
      </c>
      <c r="P182" s="2">
        <v>38689</v>
      </c>
      <c r="Q182" s="1">
        <v>43</v>
      </c>
      <c r="R182" s="1"/>
    </row>
    <row r="183" spans="1:18" x14ac:dyDescent="0.2">
      <c r="A183" s="3">
        <v>182</v>
      </c>
      <c r="B183" s="2">
        <v>38697</v>
      </c>
      <c r="C183" s="1">
        <v>0.22432422897090101</v>
      </c>
      <c r="D183" s="1">
        <v>0.25263739873965602</v>
      </c>
      <c r="E183" s="1">
        <v>192</v>
      </c>
      <c r="F183" s="1">
        <v>0</v>
      </c>
      <c r="G183" s="1">
        <v>28.5857465277778</v>
      </c>
      <c r="H183" s="1">
        <v>0</v>
      </c>
      <c r="I183" s="1">
        <v>0</v>
      </c>
      <c r="J183" s="1">
        <v>12</v>
      </c>
      <c r="K183" s="1">
        <v>2005</v>
      </c>
      <c r="L183" s="1"/>
      <c r="M183" s="1">
        <v>1E-3</v>
      </c>
      <c r="N183" s="1">
        <v>1E-3</v>
      </c>
      <c r="O183" s="1">
        <f>(N183-N182)/N182</f>
        <v>0</v>
      </c>
      <c r="P183" s="2">
        <v>38697</v>
      </c>
      <c r="Q183" s="1">
        <v>44</v>
      </c>
      <c r="R183" s="1"/>
    </row>
    <row r="184" spans="1:18" x14ac:dyDescent="0.2">
      <c r="A184" s="3">
        <v>183</v>
      </c>
      <c r="B184" s="2">
        <v>38705</v>
      </c>
      <c r="C184" s="1">
        <v>0.16464411727422801</v>
      </c>
      <c r="D184" s="1">
        <v>0.165259659290314</v>
      </c>
      <c r="E184" s="1">
        <v>191.6</v>
      </c>
      <c r="F184" s="1">
        <v>0</v>
      </c>
      <c r="G184" s="1">
        <v>28.5986805555556</v>
      </c>
      <c r="H184" s="1">
        <v>0</v>
      </c>
      <c r="I184" s="1">
        <v>1.6666666666666701E-2</v>
      </c>
      <c r="J184" s="1">
        <v>12</v>
      </c>
      <c r="K184" s="1">
        <v>2005</v>
      </c>
      <c r="L184" s="1"/>
      <c r="M184" s="1">
        <v>1E-3</v>
      </c>
      <c r="N184" s="1">
        <v>1E-3</v>
      </c>
      <c r="O184" s="1">
        <f>(N184-N183)/N183</f>
        <v>0</v>
      </c>
      <c r="P184" s="2">
        <v>38705</v>
      </c>
      <c r="Q184" s="1">
        <v>45</v>
      </c>
      <c r="R184" s="1"/>
    </row>
    <row r="185" spans="1:18" x14ac:dyDescent="0.2">
      <c r="A185" s="3">
        <v>184</v>
      </c>
      <c r="B185" s="2">
        <v>38713</v>
      </c>
      <c r="C185" s="1">
        <v>0.22897226300114901</v>
      </c>
      <c r="D185" s="1">
        <v>0.22543744246165001</v>
      </c>
      <c r="E185" s="1">
        <v>120</v>
      </c>
      <c r="F185" s="1">
        <v>2</v>
      </c>
      <c r="G185" s="1">
        <v>28.005500000000001</v>
      </c>
      <c r="H185" s="1">
        <v>1.6666666666666701E-2</v>
      </c>
      <c r="I185" s="1">
        <v>0</v>
      </c>
      <c r="J185" s="1">
        <v>12</v>
      </c>
      <c r="K185" s="1">
        <v>2005</v>
      </c>
      <c r="L185" s="1"/>
      <c r="M185" s="1">
        <v>1.6666666666666701E-2</v>
      </c>
      <c r="N185" s="1">
        <v>1.6666666666666701E-2</v>
      </c>
      <c r="O185" s="1">
        <f>(N185-N184)/N184</f>
        <v>15.6666666666667</v>
      </c>
      <c r="P185" s="2">
        <v>38713</v>
      </c>
      <c r="Q185" s="1">
        <v>46</v>
      </c>
      <c r="R185" s="1"/>
    </row>
    <row r="186" spans="1:18" x14ac:dyDescent="0.2">
      <c r="A186" s="3">
        <v>185</v>
      </c>
      <c r="B186" s="2">
        <v>38718</v>
      </c>
      <c r="C186" s="1">
        <v>0.285073049735315</v>
      </c>
      <c r="D186" s="1">
        <v>0.277893647551537</v>
      </c>
      <c r="E186" s="1">
        <v>192</v>
      </c>
      <c r="F186" s="1">
        <v>0</v>
      </c>
      <c r="G186" s="1">
        <v>28.186284722222201</v>
      </c>
      <c r="H186" s="1">
        <v>0</v>
      </c>
      <c r="I186" s="1">
        <v>1.0416666666666701E-2</v>
      </c>
      <c r="J186" s="1">
        <v>1</v>
      </c>
      <c r="K186" s="1">
        <v>2006</v>
      </c>
      <c r="L186" s="1"/>
      <c r="M186" s="1">
        <v>1E-3</v>
      </c>
      <c r="N186" s="1">
        <v>1E-3</v>
      </c>
      <c r="O186" s="1">
        <f>(N186-N185)/N185</f>
        <v>-0.94000000000000006</v>
      </c>
      <c r="P186" s="2">
        <v>38718</v>
      </c>
      <c r="Q186" s="1">
        <v>1</v>
      </c>
      <c r="R186" s="1"/>
    </row>
    <row r="187" spans="1:18" x14ac:dyDescent="0.2">
      <c r="A187" s="3">
        <v>186</v>
      </c>
      <c r="B187" s="2">
        <v>38726</v>
      </c>
      <c r="C187" s="1">
        <v>0.12758577412225799</v>
      </c>
      <c r="D187" s="1">
        <v>0.11690669755140901</v>
      </c>
      <c r="E187" s="1">
        <v>192</v>
      </c>
      <c r="F187" s="1">
        <v>2</v>
      </c>
      <c r="G187" s="1">
        <v>28.807500000000001</v>
      </c>
      <c r="H187" s="1">
        <v>1.0416666666666701E-2</v>
      </c>
      <c r="I187" s="1">
        <v>0</v>
      </c>
      <c r="J187" s="1">
        <v>1</v>
      </c>
      <c r="K187" s="1">
        <v>2006</v>
      </c>
      <c r="L187" s="1"/>
      <c r="M187" s="1">
        <v>1.0416666666666701E-2</v>
      </c>
      <c r="N187" s="1">
        <v>1.0416666666666701E-2</v>
      </c>
      <c r="O187" s="1">
        <f>(N187-N186)/N186</f>
        <v>9.4166666666667016</v>
      </c>
      <c r="P187" s="2">
        <v>38726</v>
      </c>
      <c r="Q187" s="1">
        <v>2</v>
      </c>
      <c r="R187" s="1"/>
    </row>
    <row r="188" spans="1:18" x14ac:dyDescent="0.2">
      <c r="A188" s="3">
        <v>187</v>
      </c>
      <c r="B188" s="2">
        <v>38734</v>
      </c>
      <c r="C188" s="1">
        <v>0.13688876590079799</v>
      </c>
      <c r="D188" s="1">
        <v>0.121076210091511</v>
      </c>
      <c r="E188" s="1">
        <v>192</v>
      </c>
      <c r="F188" s="1">
        <v>0</v>
      </c>
      <c r="G188" s="1">
        <v>28.869687500000001</v>
      </c>
      <c r="H188" s="1">
        <v>0</v>
      </c>
      <c r="I188" s="1">
        <v>1.0416666666666701E-2</v>
      </c>
      <c r="J188" s="1">
        <v>1</v>
      </c>
      <c r="K188" s="1">
        <v>2006</v>
      </c>
      <c r="L188" s="1"/>
      <c r="M188" s="1">
        <v>1E-3</v>
      </c>
      <c r="N188" s="1">
        <v>1E-3</v>
      </c>
      <c r="O188" s="1">
        <f>(N188-N187)/N187</f>
        <v>-0.90400000000000036</v>
      </c>
      <c r="P188" s="2">
        <v>38734</v>
      </c>
      <c r="Q188" s="1">
        <v>3</v>
      </c>
      <c r="R188" s="1"/>
    </row>
    <row r="189" spans="1:18" x14ac:dyDescent="0.2">
      <c r="A189" s="3">
        <v>188</v>
      </c>
      <c r="B189" s="2">
        <v>38742</v>
      </c>
      <c r="C189" s="1">
        <v>0.172529296409449</v>
      </c>
      <c r="D189" s="1">
        <v>0.14772585779428499</v>
      </c>
      <c r="E189" s="1">
        <v>192</v>
      </c>
      <c r="F189" s="1">
        <v>2</v>
      </c>
      <c r="G189" s="1">
        <v>28.728680555555599</v>
      </c>
      <c r="H189" s="1">
        <v>1.0416666666666701E-2</v>
      </c>
      <c r="I189" s="1">
        <v>5.2083333333333296E-3</v>
      </c>
      <c r="J189" s="1">
        <v>1</v>
      </c>
      <c r="K189" s="1">
        <v>2006</v>
      </c>
      <c r="L189" s="1"/>
      <c r="M189" s="1">
        <v>1.0416666666666701E-2</v>
      </c>
      <c r="N189" s="1">
        <v>1.0416666666666701E-2</v>
      </c>
      <c r="O189" s="1">
        <f>(N189-N188)/N188</f>
        <v>9.4166666666667016</v>
      </c>
      <c r="P189" s="2">
        <v>38742</v>
      </c>
      <c r="Q189" s="1">
        <v>4</v>
      </c>
      <c r="R189" s="1"/>
    </row>
    <row r="190" spans="1:18" x14ac:dyDescent="0.2">
      <c r="A190" s="3">
        <v>189</v>
      </c>
      <c r="B190" s="2">
        <v>38750</v>
      </c>
      <c r="C190" s="1">
        <v>0.148958914203658</v>
      </c>
      <c r="D190" s="1">
        <v>0.11755852773785599</v>
      </c>
      <c r="E190" s="1">
        <v>192</v>
      </c>
      <c r="F190" s="1">
        <v>1</v>
      </c>
      <c r="G190" s="1">
        <v>28.659045138888899</v>
      </c>
      <c r="H190" s="1">
        <v>5.2083333333333296E-3</v>
      </c>
      <c r="I190" s="1">
        <v>5.2083333333333296E-3</v>
      </c>
      <c r="J190" s="1">
        <v>2</v>
      </c>
      <c r="K190" s="1">
        <v>2006</v>
      </c>
      <c r="L190" s="1"/>
      <c r="M190" s="1">
        <v>5.2083333333333296E-3</v>
      </c>
      <c r="N190" s="1">
        <v>5.2083333333333296E-3</v>
      </c>
      <c r="O190" s="1">
        <f>(N190-N189)/N189</f>
        <v>-0.500000000000002</v>
      </c>
      <c r="P190" s="2">
        <v>38750</v>
      </c>
      <c r="Q190" s="1">
        <v>5</v>
      </c>
      <c r="R190" s="1"/>
    </row>
    <row r="191" spans="1:18" x14ac:dyDescent="0.2">
      <c r="A191" s="3">
        <v>190</v>
      </c>
      <c r="B191" s="2">
        <v>38758</v>
      </c>
      <c r="C191" s="1">
        <v>8.8357836210045504E-2</v>
      </c>
      <c r="D191" s="1">
        <v>6.6868160540858895E-2</v>
      </c>
      <c r="E191" s="1">
        <v>192</v>
      </c>
      <c r="F191" s="1">
        <v>1</v>
      </c>
      <c r="G191" s="1">
        <v>28.9472048611111</v>
      </c>
      <c r="H191" s="1">
        <v>5.2083333333333296E-3</v>
      </c>
      <c r="I191" s="1">
        <v>0</v>
      </c>
      <c r="J191" s="1">
        <v>2</v>
      </c>
      <c r="K191" s="1">
        <v>2006</v>
      </c>
      <c r="L191" s="1"/>
      <c r="M191" s="1">
        <v>5.2083333333333296E-3</v>
      </c>
      <c r="N191" s="1">
        <v>5.2083333333333296E-3</v>
      </c>
      <c r="O191" s="1">
        <f>(N191-N190)/N190</f>
        <v>0</v>
      </c>
      <c r="P191" s="2">
        <v>38758</v>
      </c>
      <c r="Q191" s="1">
        <v>6</v>
      </c>
      <c r="R191" s="1"/>
    </row>
    <row r="192" spans="1:18" x14ac:dyDescent="0.2">
      <c r="A192" s="3">
        <v>191</v>
      </c>
      <c r="B192" s="2">
        <v>38766</v>
      </c>
      <c r="C192" s="1">
        <v>0.139093075963584</v>
      </c>
      <c r="D192" s="1">
        <v>0.102510961393515</v>
      </c>
      <c r="E192" s="1">
        <v>192</v>
      </c>
      <c r="F192" s="1">
        <v>0</v>
      </c>
      <c r="G192" s="1">
        <v>28.921510416666699</v>
      </c>
      <c r="H192" s="1">
        <v>0</v>
      </c>
      <c r="I192" s="1">
        <v>0</v>
      </c>
      <c r="J192" s="1">
        <v>2</v>
      </c>
      <c r="K192" s="1">
        <v>2006</v>
      </c>
      <c r="L192" s="1"/>
      <c r="M192" s="1">
        <v>1E-3</v>
      </c>
      <c r="N192" s="1">
        <v>1E-3</v>
      </c>
      <c r="O192" s="1">
        <f>(N192-N191)/N191</f>
        <v>-0.80799999999999983</v>
      </c>
      <c r="P192" s="2">
        <v>38766</v>
      </c>
      <c r="Q192" s="1">
        <v>7</v>
      </c>
      <c r="R192" s="1"/>
    </row>
    <row r="193" spans="1:18" x14ac:dyDescent="0.2">
      <c r="A193" s="3">
        <v>192</v>
      </c>
      <c r="B193" s="2">
        <v>38774</v>
      </c>
      <c r="C193" s="1">
        <v>0.171844238783144</v>
      </c>
      <c r="D193" s="1">
        <v>0.16356789072354599</v>
      </c>
      <c r="E193" s="1">
        <v>192</v>
      </c>
      <c r="F193" s="1">
        <v>0</v>
      </c>
      <c r="G193" s="1">
        <v>28.666961805555601</v>
      </c>
      <c r="H193" s="1">
        <v>0</v>
      </c>
      <c r="I193" s="1">
        <v>9.375E-2</v>
      </c>
      <c r="J193" s="1">
        <v>2</v>
      </c>
      <c r="K193" s="1">
        <v>2006</v>
      </c>
      <c r="L193" s="1"/>
      <c r="M193" s="1">
        <v>1E-3</v>
      </c>
      <c r="N193" s="1">
        <v>1E-3</v>
      </c>
      <c r="O193" s="1">
        <f>(N193-N192)/N192</f>
        <v>0</v>
      </c>
      <c r="P193" s="2">
        <v>38774</v>
      </c>
      <c r="Q193" s="1">
        <v>8</v>
      </c>
      <c r="R193" s="1"/>
    </row>
    <row r="194" spans="1:18" x14ac:dyDescent="0.2">
      <c r="A194" s="3">
        <v>193</v>
      </c>
      <c r="B194" s="2">
        <v>38782</v>
      </c>
      <c r="C194" s="1">
        <v>0.13939752372234701</v>
      </c>
      <c r="D194" s="1">
        <v>0.142414422084888</v>
      </c>
      <c r="E194" s="1">
        <v>192</v>
      </c>
      <c r="F194" s="1">
        <v>18</v>
      </c>
      <c r="G194" s="1">
        <v>29.022951388888899</v>
      </c>
      <c r="H194" s="1">
        <v>9.375E-2</v>
      </c>
      <c r="I194" s="1">
        <v>5.2083333333333296E-3</v>
      </c>
      <c r="J194" s="1">
        <v>3</v>
      </c>
      <c r="K194" s="1">
        <v>2006</v>
      </c>
      <c r="L194" s="1"/>
      <c r="M194" s="1">
        <v>9.375E-2</v>
      </c>
      <c r="N194" s="1">
        <v>9.375E-2</v>
      </c>
      <c r="O194" s="1">
        <f>(N194-N193)/N193</f>
        <v>92.75</v>
      </c>
      <c r="P194" s="2">
        <v>38782</v>
      </c>
      <c r="Q194" s="1">
        <v>9</v>
      </c>
      <c r="R194" s="1"/>
    </row>
    <row r="195" spans="1:18" x14ac:dyDescent="0.2">
      <c r="A195" s="3">
        <v>194</v>
      </c>
      <c r="B195" s="2">
        <v>38790</v>
      </c>
      <c r="C195" s="1">
        <v>0.112377236427376</v>
      </c>
      <c r="D195" s="1">
        <v>0.10287406668067001</v>
      </c>
      <c r="E195" s="1">
        <v>192</v>
      </c>
      <c r="F195" s="1">
        <v>1</v>
      </c>
      <c r="G195" s="1">
        <v>29.099131944444402</v>
      </c>
      <c r="H195" s="1">
        <v>5.2083333333333296E-3</v>
      </c>
      <c r="I195" s="1">
        <v>1.0416666666666701E-2</v>
      </c>
      <c r="J195" s="1">
        <v>3</v>
      </c>
      <c r="K195" s="1">
        <v>2006</v>
      </c>
      <c r="L195" s="1"/>
      <c r="M195" s="1">
        <v>5.2083333333333296E-3</v>
      </c>
      <c r="N195" s="1">
        <v>5.2083333333333296E-3</v>
      </c>
      <c r="O195" s="1">
        <f>(N195-N194)/N194</f>
        <v>-0.94444444444444453</v>
      </c>
      <c r="P195" s="2">
        <v>38790</v>
      </c>
      <c r="Q195" s="1">
        <v>10</v>
      </c>
      <c r="R195" s="1"/>
    </row>
    <row r="196" spans="1:18" x14ac:dyDescent="0.2">
      <c r="A196" s="3">
        <v>195</v>
      </c>
      <c r="B196" s="2">
        <v>38798</v>
      </c>
      <c r="C196" s="1">
        <v>0.12712279098802801</v>
      </c>
      <c r="D196" s="1">
        <v>0.115338253478209</v>
      </c>
      <c r="E196" s="1">
        <v>192</v>
      </c>
      <c r="F196" s="1">
        <v>2</v>
      </c>
      <c r="G196" s="1">
        <v>29.3066666666667</v>
      </c>
      <c r="H196" s="1">
        <v>1.0416666666666701E-2</v>
      </c>
      <c r="I196" s="1">
        <v>5.2083333333333296E-3</v>
      </c>
      <c r="J196" s="1">
        <v>3</v>
      </c>
      <c r="K196" s="1">
        <v>2006</v>
      </c>
      <c r="L196" s="1"/>
      <c r="M196" s="1">
        <v>1.0416666666666701E-2</v>
      </c>
      <c r="N196" s="1">
        <v>1.0416666666666701E-2</v>
      </c>
      <c r="O196" s="1">
        <f>(N196-N195)/N195</f>
        <v>1.000000000000008</v>
      </c>
      <c r="P196" s="2">
        <v>38798</v>
      </c>
      <c r="Q196" s="1">
        <v>11</v>
      </c>
      <c r="R196" s="1"/>
    </row>
    <row r="197" spans="1:18" x14ac:dyDescent="0.2">
      <c r="A197" s="3">
        <v>196</v>
      </c>
      <c r="B197" s="2">
        <v>38806</v>
      </c>
      <c r="C197" s="1">
        <v>0.114599019377714</v>
      </c>
      <c r="D197" s="1">
        <v>0.108961633096139</v>
      </c>
      <c r="E197" s="1">
        <v>192</v>
      </c>
      <c r="F197" s="1">
        <v>1</v>
      </c>
      <c r="G197" s="1">
        <v>29.624218750000001</v>
      </c>
      <c r="H197" s="1">
        <v>5.2083333333333296E-3</v>
      </c>
      <c r="I197" s="1">
        <v>0</v>
      </c>
      <c r="J197" s="1">
        <v>3</v>
      </c>
      <c r="K197" s="1">
        <v>2006</v>
      </c>
      <c r="L197" s="1"/>
      <c r="M197" s="1">
        <v>5.2083333333333296E-3</v>
      </c>
      <c r="N197" s="1">
        <v>5.2083333333333296E-3</v>
      </c>
      <c r="O197" s="1">
        <f>(N197-N196)/N196</f>
        <v>-0.500000000000002</v>
      </c>
      <c r="P197" s="2">
        <v>38806</v>
      </c>
      <c r="Q197" s="1">
        <v>12</v>
      </c>
      <c r="R197" s="1"/>
    </row>
    <row r="198" spans="1:18" x14ac:dyDescent="0.2">
      <c r="A198" s="3">
        <v>197</v>
      </c>
      <c r="B198" s="2">
        <v>38814</v>
      </c>
      <c r="C198" s="1">
        <v>0.12277045969427</v>
      </c>
      <c r="D198" s="1">
        <v>0.107730938742558</v>
      </c>
      <c r="E198" s="1">
        <v>192</v>
      </c>
      <c r="F198" s="1">
        <v>0</v>
      </c>
      <c r="G198" s="1">
        <v>29.6304861111111</v>
      </c>
      <c r="H198" s="1">
        <v>0</v>
      </c>
      <c r="I198" s="1">
        <v>0</v>
      </c>
      <c r="J198" s="1">
        <v>4</v>
      </c>
      <c r="K198" s="1">
        <v>2006</v>
      </c>
      <c r="L198" s="1"/>
      <c r="M198" s="1">
        <v>1E-3</v>
      </c>
      <c r="N198" s="1">
        <v>1E-3</v>
      </c>
      <c r="O198" s="1">
        <f>(N198-N197)/N197</f>
        <v>-0.80799999999999983</v>
      </c>
      <c r="P198" s="2">
        <v>38814</v>
      </c>
      <c r="Q198" s="1">
        <v>13</v>
      </c>
      <c r="R198" s="1"/>
    </row>
    <row r="199" spans="1:18" x14ac:dyDescent="0.2">
      <c r="A199" s="3">
        <v>198</v>
      </c>
      <c r="B199" s="2">
        <v>38822</v>
      </c>
      <c r="C199" s="1">
        <v>0.12115501696243899</v>
      </c>
      <c r="D199" s="1">
        <v>0.12071411559979101</v>
      </c>
      <c r="E199" s="1">
        <v>192</v>
      </c>
      <c r="F199" s="1">
        <v>0</v>
      </c>
      <c r="G199" s="1">
        <v>28.951093749999998</v>
      </c>
      <c r="H199" s="1">
        <v>0</v>
      </c>
      <c r="I199" s="1">
        <v>5.2083333333333296E-3</v>
      </c>
      <c r="J199" s="1">
        <v>4</v>
      </c>
      <c r="K199" s="1">
        <v>2006</v>
      </c>
      <c r="L199" s="1"/>
      <c r="M199" s="1">
        <v>1E-3</v>
      </c>
      <c r="N199" s="1">
        <v>1E-3</v>
      </c>
      <c r="O199" s="1">
        <f>(N199-N198)/N198</f>
        <v>0</v>
      </c>
      <c r="P199" s="2">
        <v>38822</v>
      </c>
      <c r="Q199" s="1">
        <v>14</v>
      </c>
      <c r="R199" s="1"/>
    </row>
    <row r="200" spans="1:18" x14ac:dyDescent="0.2">
      <c r="A200" s="3">
        <v>199</v>
      </c>
      <c r="B200" s="2">
        <v>38830</v>
      </c>
      <c r="C200" s="1">
        <v>0.15308306974595801</v>
      </c>
      <c r="D200" s="1">
        <v>0.14037326723337201</v>
      </c>
      <c r="E200" s="1">
        <v>192</v>
      </c>
      <c r="F200" s="1">
        <v>1</v>
      </c>
      <c r="G200" s="1">
        <v>28.8074479166667</v>
      </c>
      <c r="H200" s="1">
        <v>5.2083333333333296E-3</v>
      </c>
      <c r="I200" s="1">
        <v>0</v>
      </c>
      <c r="J200" s="1">
        <v>4</v>
      </c>
      <c r="K200" s="1">
        <v>2006</v>
      </c>
      <c r="L200" s="1"/>
      <c r="M200" s="1">
        <v>5.2083333333333296E-3</v>
      </c>
      <c r="N200" s="1">
        <v>5.2083333333333296E-3</v>
      </c>
      <c r="O200" s="1">
        <f>(N200-N199)/N199</f>
        <v>4.2083333333333295</v>
      </c>
      <c r="P200" s="2">
        <v>38830</v>
      </c>
      <c r="Q200" s="1">
        <v>15</v>
      </c>
      <c r="R200" s="1"/>
    </row>
    <row r="201" spans="1:18" x14ac:dyDescent="0.2">
      <c r="A201" s="3">
        <v>200</v>
      </c>
      <c r="B201" s="2">
        <v>38838</v>
      </c>
      <c r="C201" s="1">
        <v>0.15672712349856399</v>
      </c>
      <c r="D201" s="1">
        <v>0.14935124168793401</v>
      </c>
      <c r="E201" s="1">
        <v>192</v>
      </c>
      <c r="F201" s="1">
        <v>0</v>
      </c>
      <c r="G201" s="1">
        <v>28.665937499999998</v>
      </c>
      <c r="H201" s="1">
        <v>0</v>
      </c>
      <c r="I201" s="1" t="s">
        <v>0</v>
      </c>
      <c r="J201" s="1">
        <v>5</v>
      </c>
      <c r="K201" s="1">
        <v>2006</v>
      </c>
      <c r="L201" s="1"/>
      <c r="M201" s="1">
        <v>1E-3</v>
      </c>
      <c r="N201" s="1">
        <v>1E-3</v>
      </c>
      <c r="O201" s="1">
        <f>(N201-N200)/N200</f>
        <v>-0.80799999999999983</v>
      </c>
      <c r="P201" s="2">
        <v>38838</v>
      </c>
      <c r="Q201" s="1">
        <v>16</v>
      </c>
      <c r="R201" s="1"/>
    </row>
    <row r="202" spans="1:18" x14ac:dyDescent="0.2">
      <c r="A202" s="3">
        <v>201</v>
      </c>
      <c r="B202" s="2">
        <v>38846</v>
      </c>
      <c r="C202" s="1">
        <v>0.149614313165464</v>
      </c>
      <c r="D202" s="1">
        <v>0.157317241032918</v>
      </c>
      <c r="E202" s="1">
        <v>47.1</v>
      </c>
      <c r="F202" s="1">
        <v>3</v>
      </c>
      <c r="G202" s="1">
        <v>28.526406250000001</v>
      </c>
      <c r="H202" s="1" t="s">
        <v>0</v>
      </c>
      <c r="I202" s="1">
        <v>0.125</v>
      </c>
      <c r="J202" s="1">
        <v>5</v>
      </c>
      <c r="K202" s="1">
        <v>2006</v>
      </c>
      <c r="L202" s="1"/>
      <c r="M202" s="1">
        <v>0</v>
      </c>
      <c r="N202" s="1">
        <v>0</v>
      </c>
      <c r="O202" s="1">
        <f>(N202-N201)/N201</f>
        <v>-1</v>
      </c>
      <c r="P202" s="2">
        <v>38846</v>
      </c>
      <c r="Q202" s="1">
        <v>17</v>
      </c>
      <c r="R202" s="1"/>
    </row>
    <row r="203" spans="1:18" x14ac:dyDescent="0.2">
      <c r="A203" s="3">
        <v>202</v>
      </c>
      <c r="B203" s="2">
        <v>38854</v>
      </c>
      <c r="C203" s="1">
        <v>0.176283612274207</v>
      </c>
      <c r="D203" s="1">
        <v>0.16725898782412199</v>
      </c>
      <c r="E203" s="1">
        <v>184</v>
      </c>
      <c r="F203" s="1">
        <v>23</v>
      </c>
      <c r="G203" s="1">
        <v>27.557083333333299</v>
      </c>
      <c r="H203" s="1">
        <v>0.125</v>
      </c>
      <c r="I203" s="1">
        <v>0.75520833333333304</v>
      </c>
      <c r="J203" s="1">
        <v>5</v>
      </c>
      <c r="K203" s="1">
        <v>2006</v>
      </c>
      <c r="L203" s="1"/>
      <c r="M203" s="1">
        <v>0.125</v>
      </c>
      <c r="N203" s="1">
        <v>0.125</v>
      </c>
      <c r="O203" s="1" t="e">
        <f>(N203-N202)/N202</f>
        <v>#DIV/0!</v>
      </c>
      <c r="P203" s="2">
        <v>38854</v>
      </c>
      <c r="Q203" s="1">
        <v>18</v>
      </c>
      <c r="R203" s="1"/>
    </row>
    <row r="204" spans="1:18" x14ac:dyDescent="0.2">
      <c r="A204" s="3">
        <v>203</v>
      </c>
      <c r="B204" s="2">
        <v>38862</v>
      </c>
      <c r="C204" s="1">
        <v>0.20252505165232701</v>
      </c>
      <c r="D204" s="1">
        <v>0.19534805665413499</v>
      </c>
      <c r="E204" s="1">
        <v>192</v>
      </c>
      <c r="F204" s="1">
        <v>145</v>
      </c>
      <c r="G204" s="1">
        <v>26.598072916666698</v>
      </c>
      <c r="H204" s="1">
        <v>0.75520833333333304</v>
      </c>
      <c r="I204" s="1">
        <v>0.58854166666666696</v>
      </c>
      <c r="J204" s="1">
        <v>5</v>
      </c>
      <c r="K204" s="1">
        <v>2006</v>
      </c>
      <c r="L204" s="1"/>
      <c r="M204" s="1">
        <v>0.75520833333333304</v>
      </c>
      <c r="N204" s="1">
        <v>0.75520833333333304</v>
      </c>
      <c r="O204" s="1">
        <f>(N204-N203)/N203</f>
        <v>5.0416666666666643</v>
      </c>
      <c r="P204" s="2">
        <v>38862</v>
      </c>
      <c r="Q204" s="1">
        <v>19</v>
      </c>
      <c r="R204" s="1"/>
    </row>
    <row r="205" spans="1:18" x14ac:dyDescent="0.2">
      <c r="A205" s="3">
        <v>204</v>
      </c>
      <c r="B205" s="2">
        <v>38870</v>
      </c>
      <c r="C205" s="1">
        <v>0.26841840236144698</v>
      </c>
      <c r="D205" s="1">
        <v>0.24374128878116599</v>
      </c>
      <c r="E205" s="1">
        <v>192</v>
      </c>
      <c r="F205" s="1">
        <v>113</v>
      </c>
      <c r="G205" s="1">
        <v>26.5088020833333</v>
      </c>
      <c r="H205" s="1">
        <v>0.58854166666666696</v>
      </c>
      <c r="I205" s="1">
        <v>0.61458333333333304</v>
      </c>
      <c r="J205" s="1">
        <v>6</v>
      </c>
      <c r="K205" s="1">
        <v>2006</v>
      </c>
      <c r="L205" s="1"/>
      <c r="M205" s="1">
        <v>0.58854166666666696</v>
      </c>
      <c r="N205" s="1">
        <v>0.58854166666666696</v>
      </c>
      <c r="O205" s="1">
        <f>(N205-N204)/N204</f>
        <v>-0.2206896551724131</v>
      </c>
      <c r="P205" s="2">
        <v>38870</v>
      </c>
      <c r="Q205" s="1">
        <v>20</v>
      </c>
      <c r="R205" s="1"/>
    </row>
    <row r="206" spans="1:18" x14ac:dyDescent="0.2">
      <c r="A206" s="3">
        <v>205</v>
      </c>
      <c r="B206" s="2">
        <v>38878</v>
      </c>
      <c r="C206" s="1">
        <v>0.33911607511244801</v>
      </c>
      <c r="D206" s="1">
        <v>0.32000030577182798</v>
      </c>
      <c r="E206" s="1">
        <v>192</v>
      </c>
      <c r="F206" s="1">
        <v>118</v>
      </c>
      <c r="G206" s="1">
        <v>26.883437499999999</v>
      </c>
      <c r="H206" s="1">
        <v>0.61458333333333304</v>
      </c>
      <c r="I206" s="1">
        <v>0.375</v>
      </c>
      <c r="J206" s="1">
        <v>6</v>
      </c>
      <c r="K206" s="1">
        <v>2006</v>
      </c>
      <c r="L206" s="1"/>
      <c r="M206" s="1">
        <v>0.61458333333333304</v>
      </c>
      <c r="N206" s="1">
        <v>0.61458333333333304</v>
      </c>
      <c r="O206" s="1">
        <f>(N206-N205)/N205</f>
        <v>4.4247787610618441E-2</v>
      </c>
      <c r="P206" s="2">
        <v>38878</v>
      </c>
      <c r="Q206" s="1">
        <v>21</v>
      </c>
      <c r="R206" s="1"/>
    </row>
    <row r="207" spans="1:18" x14ac:dyDescent="0.2">
      <c r="A207" s="3">
        <v>206</v>
      </c>
      <c r="B207" s="2">
        <v>38886</v>
      </c>
      <c r="C207" s="1">
        <v>0.28833363338240597</v>
      </c>
      <c r="D207" s="1">
        <v>0.29225443303585102</v>
      </c>
      <c r="E207" s="1">
        <v>192</v>
      </c>
      <c r="F207" s="1">
        <v>72</v>
      </c>
      <c r="G207" s="1">
        <v>26.571718749999999</v>
      </c>
      <c r="H207" s="1">
        <v>0.375</v>
      </c>
      <c r="I207" s="1">
        <v>0.40625</v>
      </c>
      <c r="J207" s="1">
        <v>6</v>
      </c>
      <c r="K207" s="1">
        <v>2006</v>
      </c>
      <c r="L207" s="1"/>
      <c r="M207" s="1">
        <v>0.375</v>
      </c>
      <c r="N207" s="1">
        <v>0.375</v>
      </c>
      <c r="O207" s="1">
        <f>(N207-N206)/N206</f>
        <v>-0.38983050847457595</v>
      </c>
      <c r="P207" s="2">
        <v>38886</v>
      </c>
      <c r="Q207" s="1">
        <v>22</v>
      </c>
      <c r="R207" s="1"/>
    </row>
    <row r="208" spans="1:18" x14ac:dyDescent="0.2">
      <c r="A208" s="3">
        <v>207</v>
      </c>
      <c r="B208" s="2">
        <v>38894</v>
      </c>
      <c r="C208" s="1">
        <v>0.260840594944869</v>
      </c>
      <c r="D208" s="1">
        <v>0.26098475108544</v>
      </c>
      <c r="E208" s="1">
        <v>192</v>
      </c>
      <c r="F208" s="1">
        <v>78</v>
      </c>
      <c r="G208" s="1">
        <v>26.344357638888901</v>
      </c>
      <c r="H208" s="1">
        <v>0.40625</v>
      </c>
      <c r="I208" s="1">
        <v>0.703125</v>
      </c>
      <c r="J208" s="1">
        <v>6</v>
      </c>
      <c r="K208" s="1">
        <v>2006</v>
      </c>
      <c r="L208" s="1"/>
      <c r="M208" s="1">
        <v>0.40625</v>
      </c>
      <c r="N208" s="1">
        <v>0.40625</v>
      </c>
      <c r="O208" s="1">
        <f>(N208-N207)/N207</f>
        <v>8.3333333333333329E-2</v>
      </c>
      <c r="P208" s="2">
        <v>38894</v>
      </c>
      <c r="Q208" s="1">
        <v>23</v>
      </c>
      <c r="R208" s="1"/>
    </row>
    <row r="209" spans="1:18" x14ac:dyDescent="0.2">
      <c r="A209" s="3">
        <v>208</v>
      </c>
      <c r="B209" s="2">
        <v>38902</v>
      </c>
      <c r="C209" s="1">
        <v>0.26450857317306598</v>
      </c>
      <c r="D209" s="1">
        <v>0.25790962080160801</v>
      </c>
      <c r="E209" s="1">
        <v>192</v>
      </c>
      <c r="F209" s="1">
        <v>135</v>
      </c>
      <c r="G209" s="1">
        <v>26.522916666666699</v>
      </c>
      <c r="H209" s="1">
        <v>0.703125</v>
      </c>
      <c r="I209" s="1">
        <v>0.20833333333333301</v>
      </c>
      <c r="J209" s="1">
        <v>7</v>
      </c>
      <c r="K209" s="1">
        <v>2006</v>
      </c>
      <c r="L209" s="1"/>
      <c r="M209" s="1">
        <v>0.703125</v>
      </c>
      <c r="N209" s="1">
        <v>0.703125</v>
      </c>
      <c r="O209" s="1">
        <f>(N209-N208)/N208</f>
        <v>0.73076923076923073</v>
      </c>
      <c r="P209" s="2">
        <v>38902</v>
      </c>
      <c r="Q209" s="1">
        <v>24</v>
      </c>
      <c r="R209" s="1"/>
    </row>
    <row r="210" spans="1:18" x14ac:dyDescent="0.2">
      <c r="A210" s="3">
        <v>209</v>
      </c>
      <c r="B210" s="2">
        <v>38910</v>
      </c>
      <c r="C210" s="1">
        <v>0.259116885190952</v>
      </c>
      <c r="D210" s="1">
        <v>0.26104507595300702</v>
      </c>
      <c r="E210" s="1">
        <v>192</v>
      </c>
      <c r="F210" s="1">
        <v>40</v>
      </c>
      <c r="G210" s="1">
        <v>27.1212152777778</v>
      </c>
      <c r="H210" s="1">
        <v>0.20833333333333301</v>
      </c>
      <c r="I210" s="1">
        <v>0.16145833333333301</v>
      </c>
      <c r="J210" s="1">
        <v>7</v>
      </c>
      <c r="K210" s="1">
        <v>2006</v>
      </c>
      <c r="L210" s="1"/>
      <c r="M210" s="1">
        <v>0.20833333333333301</v>
      </c>
      <c r="N210" s="1">
        <v>0.20833333333333301</v>
      </c>
      <c r="O210" s="1">
        <f>(N210-N209)/N209</f>
        <v>-0.70370370370370416</v>
      </c>
      <c r="P210" s="2">
        <v>38910</v>
      </c>
      <c r="Q210" s="1">
        <v>25</v>
      </c>
      <c r="R210" s="1"/>
    </row>
    <row r="211" spans="1:18" x14ac:dyDescent="0.2">
      <c r="A211" s="3">
        <v>210</v>
      </c>
      <c r="B211" s="2">
        <v>38918</v>
      </c>
      <c r="C211" s="1">
        <v>0.19134960358841199</v>
      </c>
      <c r="D211" s="1">
        <v>0.199504435062408</v>
      </c>
      <c r="E211" s="1">
        <v>192</v>
      </c>
      <c r="F211" s="1">
        <v>31</v>
      </c>
      <c r="G211" s="1">
        <v>27.426597222222199</v>
      </c>
      <c r="H211" s="1">
        <v>0.16145833333333301</v>
      </c>
      <c r="I211" s="1">
        <v>0.515625</v>
      </c>
      <c r="J211" s="1">
        <v>7</v>
      </c>
      <c r="K211" s="1">
        <v>2006</v>
      </c>
      <c r="L211" s="1"/>
      <c r="M211" s="1">
        <v>0.16145833333333301</v>
      </c>
      <c r="N211" s="1">
        <v>0.16145833333333301</v>
      </c>
      <c r="O211" s="1">
        <f>(N211-N210)/N210</f>
        <v>-0.22500000000000034</v>
      </c>
      <c r="P211" s="2">
        <v>38918</v>
      </c>
      <c r="Q211" s="1">
        <v>26</v>
      </c>
      <c r="R211" s="1"/>
    </row>
    <row r="212" spans="1:18" x14ac:dyDescent="0.2">
      <c r="A212" s="3">
        <v>211</v>
      </c>
      <c r="B212" s="2">
        <v>38926</v>
      </c>
      <c r="C212" s="1">
        <v>0.18722875969750499</v>
      </c>
      <c r="D212" s="1">
        <v>0.16000417619943599</v>
      </c>
      <c r="E212" s="1">
        <v>192</v>
      </c>
      <c r="F212" s="1">
        <v>99</v>
      </c>
      <c r="G212" s="1">
        <v>27.4317361111111</v>
      </c>
      <c r="H212" s="1">
        <v>0.515625</v>
      </c>
      <c r="I212" s="1">
        <v>0.77083333333333304</v>
      </c>
      <c r="J212" s="1">
        <v>7</v>
      </c>
      <c r="K212" s="1">
        <v>2006</v>
      </c>
      <c r="L212" s="1"/>
      <c r="M212" s="1">
        <v>0.515625</v>
      </c>
      <c r="N212" s="1">
        <v>0.515625</v>
      </c>
      <c r="O212" s="1">
        <f>(N212-N211)/N211</f>
        <v>2.1935483870967802</v>
      </c>
      <c r="P212" s="2">
        <v>38926</v>
      </c>
      <c r="Q212" s="1">
        <v>27</v>
      </c>
      <c r="R212" s="1"/>
    </row>
    <row r="213" spans="1:18" x14ac:dyDescent="0.2">
      <c r="A213" s="3">
        <v>212</v>
      </c>
      <c r="B213" s="2">
        <v>38934</v>
      </c>
      <c r="C213" s="1">
        <v>0.18192807236719399</v>
      </c>
      <c r="D213" s="1">
        <v>0.164868665238221</v>
      </c>
      <c r="E213" s="1">
        <v>192</v>
      </c>
      <c r="F213" s="1">
        <v>148</v>
      </c>
      <c r="G213" s="1">
        <v>27.266163194444399</v>
      </c>
      <c r="H213" s="1">
        <v>0.77083333333333304</v>
      </c>
      <c r="I213" s="1">
        <v>0.890625</v>
      </c>
      <c r="J213" s="1">
        <v>8</v>
      </c>
      <c r="K213" s="1">
        <v>2006</v>
      </c>
      <c r="L213" s="1"/>
      <c r="M213" s="1">
        <v>0.77083333333333304</v>
      </c>
      <c r="N213" s="1">
        <v>0.77083333333333304</v>
      </c>
      <c r="O213" s="1">
        <f>(N213-N212)/N212</f>
        <v>0.49494949494949436</v>
      </c>
      <c r="P213" s="2">
        <v>38934</v>
      </c>
      <c r="Q213" s="1">
        <v>28</v>
      </c>
      <c r="R213" s="1"/>
    </row>
    <row r="214" spans="1:18" x14ac:dyDescent="0.2">
      <c r="A214" s="3">
        <v>213</v>
      </c>
      <c r="B214" s="2">
        <v>38942</v>
      </c>
      <c r="C214" s="1">
        <v>0.15118318671113101</v>
      </c>
      <c r="D214" s="1">
        <v>0.13729975372552899</v>
      </c>
      <c r="E214" s="1">
        <v>192</v>
      </c>
      <c r="F214" s="1">
        <v>171</v>
      </c>
      <c r="G214" s="1">
        <v>27.458993055555599</v>
      </c>
      <c r="H214" s="1">
        <v>0.890625</v>
      </c>
      <c r="I214" s="1">
        <v>0.73369565217391297</v>
      </c>
      <c r="J214" s="1">
        <v>8</v>
      </c>
      <c r="K214" s="1">
        <v>2006</v>
      </c>
      <c r="L214" s="1"/>
      <c r="M214" s="1">
        <v>0.890625</v>
      </c>
      <c r="N214" s="1">
        <v>0.890625</v>
      </c>
      <c r="O214" s="1">
        <f>(N214-N213)/N213</f>
        <v>0.15540540540540584</v>
      </c>
      <c r="P214" s="2">
        <v>38942</v>
      </c>
      <c r="Q214" s="1">
        <v>29</v>
      </c>
      <c r="R214" s="1"/>
    </row>
    <row r="215" spans="1:18" x14ac:dyDescent="0.2">
      <c r="A215" s="3">
        <v>214</v>
      </c>
      <c r="B215" s="2">
        <v>38950</v>
      </c>
      <c r="C215" s="1">
        <v>0.13593542913871801</v>
      </c>
      <c r="D215" s="1">
        <v>0.11219505593180699</v>
      </c>
      <c r="E215" s="1">
        <v>184</v>
      </c>
      <c r="F215" s="1">
        <v>135</v>
      </c>
      <c r="G215" s="1">
        <v>27.716319444444402</v>
      </c>
      <c r="H215" s="1">
        <v>0.73369565217391297</v>
      </c>
      <c r="I215" s="1">
        <v>0.52083333333333304</v>
      </c>
      <c r="J215" s="1">
        <v>8</v>
      </c>
      <c r="K215" s="1">
        <v>2006</v>
      </c>
      <c r="L215" s="1"/>
      <c r="M215" s="1">
        <v>0.73369565217391297</v>
      </c>
      <c r="N215" s="1">
        <v>0.73369565217391297</v>
      </c>
      <c r="O215" s="1">
        <f>(N215-N214)/N214</f>
        <v>-0.17620137299771174</v>
      </c>
      <c r="P215" s="2">
        <v>38950</v>
      </c>
      <c r="Q215" s="1">
        <v>30</v>
      </c>
      <c r="R215" s="1"/>
    </row>
    <row r="216" spans="1:18" x14ac:dyDescent="0.2">
      <c r="A216" s="3">
        <v>215</v>
      </c>
      <c r="B216" s="2">
        <v>38958</v>
      </c>
      <c r="C216" s="1">
        <v>0.14871309628089299</v>
      </c>
      <c r="D216" s="1">
        <v>0.12857050821185101</v>
      </c>
      <c r="E216" s="1">
        <v>192</v>
      </c>
      <c r="F216" s="1">
        <v>100</v>
      </c>
      <c r="G216" s="1">
        <v>27.444218750000001</v>
      </c>
      <c r="H216" s="1">
        <v>0.52083333333333304</v>
      </c>
      <c r="I216" s="1">
        <v>0.48958333333333298</v>
      </c>
      <c r="J216" s="1">
        <v>8</v>
      </c>
      <c r="K216" s="1">
        <v>2006</v>
      </c>
      <c r="L216" s="1"/>
      <c r="M216" s="1">
        <v>0.52083333333333304</v>
      </c>
      <c r="N216" s="1">
        <v>0.52083333333333304</v>
      </c>
      <c r="O216" s="1">
        <f>(N216-N215)/N215</f>
        <v>-0.2901234567901238</v>
      </c>
      <c r="P216" s="2">
        <v>38958</v>
      </c>
      <c r="Q216" s="1">
        <v>31</v>
      </c>
      <c r="R216" s="1"/>
    </row>
    <row r="217" spans="1:18" x14ac:dyDescent="0.2">
      <c r="A217" s="3">
        <v>216</v>
      </c>
      <c r="B217" s="2">
        <v>38966</v>
      </c>
      <c r="C217" s="1">
        <v>0.130712251254433</v>
      </c>
      <c r="D217" s="1">
        <v>0.148097256819407</v>
      </c>
      <c r="E217" s="1">
        <v>192</v>
      </c>
      <c r="F217" s="1">
        <v>94</v>
      </c>
      <c r="G217" s="1">
        <v>27.5089583333333</v>
      </c>
      <c r="H217" s="1">
        <v>0.48958333333333298</v>
      </c>
      <c r="I217" s="1">
        <v>0.70422535211267601</v>
      </c>
      <c r="J217" s="1">
        <v>9</v>
      </c>
      <c r="K217" s="1">
        <v>2006</v>
      </c>
      <c r="L217" s="1"/>
      <c r="M217" s="1">
        <v>0.48958333333333298</v>
      </c>
      <c r="N217" s="1">
        <v>0.48958333333333298</v>
      </c>
      <c r="O217" s="1">
        <f>(N217-N216)/N216</f>
        <v>-6.0000000000000143E-2</v>
      </c>
      <c r="P217" s="2">
        <v>38966</v>
      </c>
      <c r="Q217" s="1">
        <v>32</v>
      </c>
      <c r="R217" s="1"/>
    </row>
    <row r="218" spans="1:18" x14ac:dyDescent="0.2">
      <c r="A218" s="3">
        <v>217</v>
      </c>
      <c r="B218" s="6">
        <v>38974</v>
      </c>
      <c r="C218" s="1">
        <v>0.12268319241702599</v>
      </c>
      <c r="D218" s="1">
        <v>9.4671952227751405E-2</v>
      </c>
      <c r="E218" s="1">
        <v>191.7</v>
      </c>
      <c r="F218" s="1">
        <v>135</v>
      </c>
      <c r="G218" s="1">
        <v>27.766163194444399</v>
      </c>
      <c r="H218" s="1">
        <v>0.70422535211267601</v>
      </c>
      <c r="I218" s="1">
        <v>0.78125</v>
      </c>
      <c r="J218" s="1">
        <v>9</v>
      </c>
      <c r="K218" s="1">
        <v>2006</v>
      </c>
      <c r="L218" s="1">
        <v>0.70422535211267601</v>
      </c>
      <c r="N218" s="1">
        <v>0.70422535211267601</v>
      </c>
      <c r="O218" s="7">
        <f>(N218-N217)/N217</f>
        <v>0.43841774048546694</v>
      </c>
      <c r="P218" s="6">
        <v>38974</v>
      </c>
      <c r="Q218" s="1">
        <v>33</v>
      </c>
      <c r="R218" s="1"/>
    </row>
    <row r="219" spans="1:18" x14ac:dyDescent="0.2">
      <c r="A219" s="3">
        <v>218</v>
      </c>
      <c r="B219" s="2">
        <v>38982</v>
      </c>
      <c r="C219" s="1">
        <v>0.124651970472305</v>
      </c>
      <c r="D219" s="1">
        <v>0.106826619555553</v>
      </c>
      <c r="E219" s="1">
        <v>192</v>
      </c>
      <c r="F219" s="1">
        <v>150</v>
      </c>
      <c r="G219" s="1">
        <v>28.181336805555599</v>
      </c>
      <c r="H219" s="1">
        <v>0.78125</v>
      </c>
      <c r="I219" s="1">
        <v>0.98958333333333304</v>
      </c>
      <c r="J219" s="1">
        <v>9</v>
      </c>
      <c r="K219" s="1">
        <v>2006</v>
      </c>
      <c r="L219" s="1">
        <v>0.78125</v>
      </c>
      <c r="N219" s="1">
        <v>0.78125</v>
      </c>
      <c r="O219" s="1">
        <f>(N219-N218)/N218</f>
        <v>0.10937500000000008</v>
      </c>
      <c r="P219" s="2">
        <v>38982</v>
      </c>
      <c r="Q219" s="1">
        <v>34</v>
      </c>
      <c r="R219" s="1"/>
    </row>
    <row r="220" spans="1:18" x14ac:dyDescent="0.2">
      <c r="A220" s="3">
        <v>219</v>
      </c>
      <c r="B220" s="2">
        <v>38990</v>
      </c>
      <c r="C220" s="1">
        <v>0.124967142253931</v>
      </c>
      <c r="D220" s="1">
        <v>0.116647506753604</v>
      </c>
      <c r="E220" s="1">
        <v>192</v>
      </c>
      <c r="F220" s="1">
        <v>190</v>
      </c>
      <c r="G220" s="1">
        <v>28.5681423611111</v>
      </c>
      <c r="H220" s="1">
        <v>0.98958333333333304</v>
      </c>
      <c r="I220" s="1">
        <v>0.94639666468135797</v>
      </c>
      <c r="J220" s="1">
        <v>9</v>
      </c>
      <c r="K220" s="1">
        <v>2006</v>
      </c>
      <c r="L220" s="1">
        <v>0.98958333333333304</v>
      </c>
      <c r="N220" s="1">
        <v>0.98958333333333304</v>
      </c>
      <c r="O220" s="1">
        <f>(N220-N219)/N219</f>
        <v>0.26666666666666627</v>
      </c>
      <c r="P220" s="2">
        <v>38990</v>
      </c>
      <c r="Q220" s="1">
        <v>35</v>
      </c>
      <c r="R220" s="1"/>
    </row>
    <row r="221" spans="1:18" x14ac:dyDescent="0.2">
      <c r="A221" s="3">
        <v>220</v>
      </c>
      <c r="B221" s="2">
        <v>38998</v>
      </c>
      <c r="C221" s="1">
        <v>0.11146845264981201</v>
      </c>
      <c r="D221" s="1">
        <v>0.10626014570395199</v>
      </c>
      <c r="E221" s="1">
        <v>167.9</v>
      </c>
      <c r="F221" s="1">
        <v>158.9</v>
      </c>
      <c r="G221" s="1">
        <v>28.5212326388889</v>
      </c>
      <c r="H221" s="1">
        <v>0.94639666468135797</v>
      </c>
      <c r="I221" s="1" t="s">
        <v>0</v>
      </c>
      <c r="J221" s="1">
        <v>10</v>
      </c>
      <c r="K221" s="1">
        <v>2006</v>
      </c>
      <c r="L221" s="1">
        <v>0.94639666468135797</v>
      </c>
      <c r="N221" s="1">
        <v>0.94639666468135797</v>
      </c>
      <c r="O221" s="1">
        <f>(N221-N220)/N220</f>
        <v>-4.3641265164101134E-2</v>
      </c>
      <c r="P221" s="2">
        <v>38998</v>
      </c>
      <c r="Q221" s="1">
        <v>36</v>
      </c>
      <c r="R221" s="1"/>
    </row>
    <row r="222" spans="1:18" x14ac:dyDescent="0.2">
      <c r="A222" s="3">
        <v>221</v>
      </c>
      <c r="B222" s="2">
        <v>39006</v>
      </c>
      <c r="C222" s="1">
        <v>0.108602782898753</v>
      </c>
      <c r="D222" s="1">
        <v>0.102413710206747</v>
      </c>
      <c r="E222" s="1">
        <v>17.2</v>
      </c>
      <c r="F222" s="1">
        <v>15</v>
      </c>
      <c r="G222" s="1">
        <v>28.751232638888901</v>
      </c>
      <c r="H222" s="1" t="s">
        <v>0</v>
      </c>
      <c r="I222" s="1" t="s">
        <v>0</v>
      </c>
      <c r="J222" s="1">
        <v>10</v>
      </c>
      <c r="K222" s="1">
        <v>2006</v>
      </c>
      <c r="L222" s="1"/>
      <c r="M222" s="1">
        <v>0</v>
      </c>
      <c r="N222" s="1">
        <v>0</v>
      </c>
      <c r="O222" s="1">
        <f>(N222-N221)/N221</f>
        <v>-1</v>
      </c>
      <c r="P222" s="2">
        <v>39006</v>
      </c>
      <c r="Q222" s="1">
        <v>37</v>
      </c>
      <c r="R222" s="1"/>
    </row>
    <row r="223" spans="1:18" x14ac:dyDescent="0.2">
      <c r="A223" s="3">
        <v>222</v>
      </c>
      <c r="B223" s="2">
        <v>39014</v>
      </c>
      <c r="C223" s="1">
        <v>0.111104651778584</v>
      </c>
      <c r="D223" s="1">
        <v>0.103963484366735</v>
      </c>
      <c r="E223" s="1">
        <v>0</v>
      </c>
      <c r="F223" s="1">
        <v>0</v>
      </c>
      <c r="G223" s="1">
        <v>29.0937152777778</v>
      </c>
      <c r="H223" s="1" t="s">
        <v>0</v>
      </c>
      <c r="I223" s="1" t="s">
        <v>0</v>
      </c>
      <c r="J223" s="1">
        <v>10</v>
      </c>
      <c r="K223" s="1">
        <v>2006</v>
      </c>
      <c r="L223" s="1"/>
      <c r="M223" s="1">
        <v>0</v>
      </c>
      <c r="N223" s="1">
        <v>0</v>
      </c>
      <c r="O223" s="1" t="e">
        <f>(N223-N222)/N222</f>
        <v>#DIV/0!</v>
      </c>
      <c r="P223" s="2">
        <v>39014</v>
      </c>
      <c r="Q223" s="1">
        <v>38</v>
      </c>
      <c r="R223" s="1"/>
    </row>
    <row r="224" spans="1:18" x14ac:dyDescent="0.2">
      <c r="A224" s="3">
        <v>223</v>
      </c>
      <c r="B224" s="2">
        <v>39022</v>
      </c>
      <c r="C224" s="1">
        <v>0.12540922403559601</v>
      </c>
      <c r="D224" s="1">
        <v>0.123313532521327</v>
      </c>
      <c r="E224" s="1">
        <v>0</v>
      </c>
      <c r="F224" s="1">
        <v>0</v>
      </c>
      <c r="G224" s="1">
        <v>29.0699131944444</v>
      </c>
      <c r="H224" s="1" t="s">
        <v>0</v>
      </c>
      <c r="I224" s="1" t="s">
        <v>0</v>
      </c>
      <c r="J224" s="1">
        <v>11</v>
      </c>
      <c r="K224" s="1">
        <v>2006</v>
      </c>
      <c r="L224" s="1"/>
      <c r="M224" s="1">
        <v>0</v>
      </c>
      <c r="N224" s="1">
        <v>0</v>
      </c>
      <c r="O224" s="1" t="e">
        <f>(N224-N223)/N223</f>
        <v>#DIV/0!</v>
      </c>
      <c r="P224" s="2">
        <v>39022</v>
      </c>
      <c r="Q224" s="1">
        <v>39</v>
      </c>
      <c r="R224" s="1"/>
    </row>
    <row r="225" spans="1:18" x14ac:dyDescent="0.2">
      <c r="A225" s="3">
        <v>224</v>
      </c>
      <c r="B225" s="2">
        <v>39030</v>
      </c>
      <c r="C225" s="1">
        <v>0.101862272739045</v>
      </c>
      <c r="D225" s="1">
        <v>8.6936529725789996E-2</v>
      </c>
      <c r="E225" s="1">
        <v>0</v>
      </c>
      <c r="F225" s="1">
        <v>0</v>
      </c>
      <c r="G225" s="1">
        <v>29.092847222222201</v>
      </c>
      <c r="H225" s="1" t="s">
        <v>0</v>
      </c>
      <c r="I225" s="1" t="s">
        <v>0</v>
      </c>
      <c r="J225" s="1">
        <v>11</v>
      </c>
      <c r="K225" s="1">
        <v>2006</v>
      </c>
      <c r="L225" s="1"/>
      <c r="M225" s="1">
        <v>0</v>
      </c>
      <c r="N225" s="1">
        <v>0</v>
      </c>
      <c r="O225" s="1" t="e">
        <f>(N225-N224)/N224</f>
        <v>#DIV/0!</v>
      </c>
      <c r="P225" s="2">
        <v>39030</v>
      </c>
      <c r="Q225" s="1">
        <v>40</v>
      </c>
      <c r="R225" s="1"/>
    </row>
    <row r="226" spans="1:18" x14ac:dyDescent="0.2">
      <c r="A226" s="3">
        <v>225</v>
      </c>
      <c r="B226" s="2">
        <v>39038</v>
      </c>
      <c r="C226" s="1">
        <v>8.6651649791747304E-2</v>
      </c>
      <c r="D226" s="1">
        <v>6.9173391908407197E-2</v>
      </c>
      <c r="E226" s="1">
        <v>0</v>
      </c>
      <c r="F226" s="1">
        <v>0</v>
      </c>
      <c r="G226" s="1">
        <v>28.996944444444399</v>
      </c>
      <c r="H226" s="1" t="s">
        <v>0</v>
      </c>
      <c r="I226" s="1" t="s">
        <v>0</v>
      </c>
      <c r="J226" s="1">
        <v>11</v>
      </c>
      <c r="K226" s="1">
        <v>2006</v>
      </c>
      <c r="L226" s="1"/>
      <c r="M226" s="1">
        <v>0</v>
      </c>
      <c r="N226" s="1">
        <v>0</v>
      </c>
      <c r="O226" s="1" t="e">
        <f>(N226-N225)/N225</f>
        <v>#DIV/0!</v>
      </c>
      <c r="P226" s="2">
        <v>39038</v>
      </c>
      <c r="Q226" s="1">
        <v>41</v>
      </c>
      <c r="R226" s="1"/>
    </row>
    <row r="227" spans="1:18" x14ac:dyDescent="0.2">
      <c r="A227" s="3">
        <v>226</v>
      </c>
      <c r="B227" s="2">
        <v>39046</v>
      </c>
      <c r="C227" s="1">
        <v>9.6324134419655705E-2</v>
      </c>
      <c r="D227" s="1">
        <v>8.2686480134725598E-2</v>
      </c>
      <c r="E227" s="1">
        <v>0</v>
      </c>
      <c r="F227" s="1">
        <v>0</v>
      </c>
      <c r="G227" s="1">
        <v>28.8183333333333</v>
      </c>
      <c r="H227" s="1" t="s">
        <v>0</v>
      </c>
      <c r="I227" s="1" t="s">
        <v>0</v>
      </c>
      <c r="J227" s="1">
        <v>11</v>
      </c>
      <c r="K227" s="1">
        <v>2006</v>
      </c>
      <c r="L227" s="1"/>
      <c r="M227" s="1">
        <v>0</v>
      </c>
      <c r="N227" s="1">
        <v>0</v>
      </c>
      <c r="O227" s="1" t="e">
        <f>(N227-N226)/N226</f>
        <v>#DIV/0!</v>
      </c>
      <c r="P227" s="2">
        <v>39046</v>
      </c>
      <c r="Q227" s="1">
        <v>42</v>
      </c>
      <c r="R227" s="1"/>
    </row>
    <row r="228" spans="1:18" x14ac:dyDescent="0.2">
      <c r="A228" s="3">
        <v>227</v>
      </c>
      <c r="B228" s="2">
        <v>39054</v>
      </c>
      <c r="C228" s="1">
        <v>6.8979992492664496E-2</v>
      </c>
      <c r="D228" s="1">
        <v>5.2750883623957599E-2</v>
      </c>
      <c r="E228" s="1">
        <v>0</v>
      </c>
      <c r="F228" s="1">
        <v>0</v>
      </c>
      <c r="G228" s="1">
        <v>29.015763888888898</v>
      </c>
      <c r="H228" s="1" t="s">
        <v>0</v>
      </c>
      <c r="I228" s="1" t="s">
        <v>0</v>
      </c>
      <c r="J228" s="1">
        <v>12</v>
      </c>
      <c r="K228" s="1">
        <v>2006</v>
      </c>
      <c r="L228" s="1"/>
      <c r="M228" s="1">
        <v>0</v>
      </c>
      <c r="N228" s="1">
        <v>0</v>
      </c>
      <c r="O228" s="1" t="e">
        <f>(N228-N227)/N227</f>
        <v>#DIV/0!</v>
      </c>
      <c r="P228" s="2">
        <v>39054</v>
      </c>
      <c r="Q228" s="1">
        <v>43</v>
      </c>
      <c r="R228" s="1"/>
    </row>
    <row r="229" spans="1:18" x14ac:dyDescent="0.2">
      <c r="A229" s="3">
        <v>228</v>
      </c>
      <c r="B229" s="2">
        <v>39062</v>
      </c>
      <c r="C229" s="1">
        <v>0.114001308645432</v>
      </c>
      <c r="D229" s="1" t="s">
        <v>0</v>
      </c>
      <c r="E229" s="1">
        <v>0</v>
      </c>
      <c r="F229" s="1">
        <v>0</v>
      </c>
      <c r="G229" s="1">
        <v>29.079843749999998</v>
      </c>
      <c r="H229" s="1" t="s">
        <v>0</v>
      </c>
      <c r="I229" s="1" t="s">
        <v>0</v>
      </c>
      <c r="J229" s="1">
        <v>12</v>
      </c>
      <c r="K229" s="1">
        <v>2006</v>
      </c>
      <c r="L229" s="1"/>
      <c r="M229" s="1">
        <v>0</v>
      </c>
      <c r="N229" s="1">
        <v>0</v>
      </c>
      <c r="O229" s="1" t="e">
        <f>(N229-N228)/N228</f>
        <v>#DIV/0!</v>
      </c>
      <c r="P229" s="2">
        <v>39062</v>
      </c>
      <c r="Q229" s="1">
        <v>44</v>
      </c>
      <c r="R229" s="1"/>
    </row>
    <row r="230" spans="1:18" x14ac:dyDescent="0.2">
      <c r="A230" s="3">
        <v>229</v>
      </c>
      <c r="B230" s="2">
        <v>39070</v>
      </c>
      <c r="C230" s="1">
        <v>6.5341564582749506E-2</v>
      </c>
      <c r="D230" s="1">
        <v>5.0122738505403198E-2</v>
      </c>
      <c r="E230" s="1">
        <v>0</v>
      </c>
      <c r="F230" s="1">
        <v>0</v>
      </c>
      <c r="G230" s="1">
        <v>28.8630034722222</v>
      </c>
      <c r="H230" s="1" t="s">
        <v>0</v>
      </c>
      <c r="I230" s="1" t="s">
        <v>0</v>
      </c>
      <c r="J230" s="1">
        <v>12</v>
      </c>
      <c r="K230" s="1">
        <v>2006</v>
      </c>
      <c r="L230" s="1"/>
      <c r="M230" s="1">
        <v>0</v>
      </c>
      <c r="N230" s="1">
        <v>0</v>
      </c>
      <c r="O230" s="1" t="e">
        <f>(N230-N229)/N229</f>
        <v>#DIV/0!</v>
      </c>
      <c r="P230" s="2">
        <v>39070</v>
      </c>
      <c r="Q230" s="1">
        <v>45</v>
      </c>
      <c r="R230" s="1"/>
    </row>
    <row r="231" spans="1:18" x14ac:dyDescent="0.2">
      <c r="A231" s="3">
        <v>230</v>
      </c>
      <c r="B231" s="2">
        <v>39078</v>
      </c>
      <c r="C231" s="1">
        <v>6.3241315509616994E-2</v>
      </c>
      <c r="D231" s="1">
        <v>5.4558184618751199E-2</v>
      </c>
      <c r="E231" s="1">
        <v>0</v>
      </c>
      <c r="F231" s="1">
        <v>0</v>
      </c>
      <c r="G231" s="1">
        <v>28.946472222222202</v>
      </c>
      <c r="H231" s="1" t="s">
        <v>0</v>
      </c>
      <c r="I231" s="1" t="s">
        <v>0</v>
      </c>
      <c r="J231" s="1">
        <v>12</v>
      </c>
      <c r="K231" s="1">
        <v>2006</v>
      </c>
      <c r="L231" s="1"/>
      <c r="M231" s="1">
        <v>0</v>
      </c>
      <c r="N231" s="1">
        <v>0</v>
      </c>
      <c r="O231" s="1" t="e">
        <f>(N231-N230)/N230</f>
        <v>#DIV/0!</v>
      </c>
      <c r="P231" s="2">
        <v>39078</v>
      </c>
      <c r="Q231" s="1">
        <v>46</v>
      </c>
      <c r="R231" s="1"/>
    </row>
    <row r="232" spans="1:18" x14ac:dyDescent="0.2">
      <c r="A232" s="3">
        <v>231</v>
      </c>
      <c r="B232" s="2">
        <v>39083</v>
      </c>
      <c r="C232" s="1">
        <v>7.3787380450752393E-2</v>
      </c>
      <c r="D232" s="1">
        <v>5.7852994029720599E-2</v>
      </c>
      <c r="E232" s="1">
        <v>0</v>
      </c>
      <c r="F232" s="1">
        <v>0</v>
      </c>
      <c r="G232" s="1">
        <v>29.147552083333299</v>
      </c>
      <c r="H232" s="1" t="s">
        <v>0</v>
      </c>
      <c r="I232" s="1" t="s">
        <v>0</v>
      </c>
      <c r="J232" s="1">
        <v>1</v>
      </c>
      <c r="K232" s="1">
        <v>2007</v>
      </c>
      <c r="L232" s="1"/>
      <c r="M232" s="1">
        <v>0</v>
      </c>
      <c r="N232" s="1">
        <v>0</v>
      </c>
      <c r="O232" s="1" t="e">
        <f>(N232-N231)/N231</f>
        <v>#DIV/0!</v>
      </c>
      <c r="P232" s="2">
        <v>39083</v>
      </c>
      <c r="Q232" s="1">
        <v>1</v>
      </c>
      <c r="R232" s="1"/>
    </row>
    <row r="233" spans="1:18" x14ac:dyDescent="0.2">
      <c r="A233" s="3">
        <v>232</v>
      </c>
      <c r="B233" s="2">
        <v>39091</v>
      </c>
      <c r="C233" s="1">
        <v>7.4042757940010195E-2</v>
      </c>
      <c r="D233" s="1">
        <v>5.7917994757493298E-2</v>
      </c>
      <c r="E233" s="1">
        <v>0</v>
      </c>
      <c r="F233" s="1">
        <v>0</v>
      </c>
      <c r="G233" s="1">
        <v>29.518211805555602</v>
      </c>
      <c r="H233" s="1" t="s">
        <v>0</v>
      </c>
      <c r="I233" s="1" t="s">
        <v>0</v>
      </c>
      <c r="J233" s="1">
        <v>1</v>
      </c>
      <c r="K233" s="1">
        <v>2007</v>
      </c>
      <c r="L233" s="1"/>
      <c r="M233" s="1">
        <v>0</v>
      </c>
      <c r="N233" s="1">
        <v>0</v>
      </c>
      <c r="O233" s="1" t="e">
        <f>(N233-N232)/N232</f>
        <v>#DIV/0!</v>
      </c>
      <c r="P233" s="2">
        <v>39091</v>
      </c>
      <c r="Q233" s="1">
        <v>2</v>
      </c>
      <c r="R233" s="1"/>
    </row>
    <row r="234" spans="1:18" x14ac:dyDescent="0.2">
      <c r="A234" s="3">
        <v>233</v>
      </c>
      <c r="B234" s="2">
        <v>39099</v>
      </c>
      <c r="C234" s="1">
        <v>6.6659769539297004E-2</v>
      </c>
      <c r="D234" s="1">
        <v>4.93983415265878E-2</v>
      </c>
      <c r="E234" s="1">
        <v>0</v>
      </c>
      <c r="F234" s="1">
        <v>0</v>
      </c>
      <c r="G234" s="1">
        <v>29.6257118055556</v>
      </c>
      <c r="H234" s="1" t="s">
        <v>0</v>
      </c>
      <c r="I234" s="1" t="s">
        <v>0</v>
      </c>
      <c r="J234" s="1">
        <v>1</v>
      </c>
      <c r="K234" s="1">
        <v>2007</v>
      </c>
      <c r="L234" s="1"/>
      <c r="M234" s="1">
        <v>0</v>
      </c>
      <c r="N234" s="1">
        <v>0</v>
      </c>
      <c r="O234" s="1" t="e">
        <f>(N234-N233)/N233</f>
        <v>#DIV/0!</v>
      </c>
      <c r="P234" s="2">
        <v>39099</v>
      </c>
      <c r="Q234" s="1">
        <v>3</v>
      </c>
      <c r="R234" s="1"/>
    </row>
    <row r="235" spans="1:18" x14ac:dyDescent="0.2">
      <c r="A235" s="3">
        <v>234</v>
      </c>
      <c r="B235" s="2">
        <v>39107</v>
      </c>
      <c r="C235" s="1">
        <v>7.0072727110236904E-2</v>
      </c>
      <c r="D235" s="1">
        <v>5.9905216718713399E-2</v>
      </c>
      <c r="E235" s="1">
        <v>0</v>
      </c>
      <c r="F235" s="1">
        <v>0</v>
      </c>
      <c r="G235" s="1">
        <v>29.411249999999999</v>
      </c>
      <c r="H235" s="1" t="s">
        <v>0</v>
      </c>
      <c r="I235" s="1" t="s">
        <v>0</v>
      </c>
      <c r="J235" s="1">
        <v>1</v>
      </c>
      <c r="K235" s="1">
        <v>2007</v>
      </c>
      <c r="L235" s="1"/>
      <c r="M235" s="1">
        <v>0</v>
      </c>
      <c r="N235" s="1">
        <v>0</v>
      </c>
      <c r="O235" s="1" t="e">
        <f>(N235-N234)/N234</f>
        <v>#DIV/0!</v>
      </c>
      <c r="P235" s="2">
        <v>39107</v>
      </c>
      <c r="Q235" s="1">
        <v>4</v>
      </c>
      <c r="R235" s="1"/>
    </row>
    <row r="236" spans="1:18" x14ac:dyDescent="0.2">
      <c r="A236" s="3">
        <v>235</v>
      </c>
      <c r="B236" s="2">
        <v>39115</v>
      </c>
      <c r="C236" s="1">
        <v>6.5712864538268898E-2</v>
      </c>
      <c r="D236" s="1">
        <v>5.65542442103227E-2</v>
      </c>
      <c r="E236" s="1">
        <v>0</v>
      </c>
      <c r="F236" s="1">
        <v>0</v>
      </c>
      <c r="G236" s="1">
        <v>29.4713541666667</v>
      </c>
      <c r="H236" s="1" t="s">
        <v>0</v>
      </c>
      <c r="I236" s="1" t="s">
        <v>0</v>
      </c>
      <c r="J236" s="1">
        <v>2</v>
      </c>
      <c r="K236" s="1">
        <v>2007</v>
      </c>
      <c r="L236" s="1"/>
      <c r="M236" s="1">
        <v>0</v>
      </c>
      <c r="N236" s="1">
        <v>0</v>
      </c>
      <c r="O236" s="1" t="e">
        <f>(N236-N235)/N235</f>
        <v>#DIV/0!</v>
      </c>
      <c r="P236" s="2">
        <v>39115</v>
      </c>
      <c r="Q236" s="1">
        <v>5</v>
      </c>
      <c r="R236" s="1"/>
    </row>
    <row r="237" spans="1:18" x14ac:dyDescent="0.2">
      <c r="A237" s="3">
        <v>236</v>
      </c>
      <c r="B237" s="2">
        <v>39123</v>
      </c>
      <c r="C237" s="1">
        <v>7.5736186924305796E-2</v>
      </c>
      <c r="D237" s="1">
        <v>7.5232882052660002E-2</v>
      </c>
      <c r="E237" s="1">
        <v>0</v>
      </c>
      <c r="F237" s="1">
        <v>0</v>
      </c>
      <c r="G237" s="1">
        <v>29.087274305555599</v>
      </c>
      <c r="H237" s="1" t="s">
        <v>0</v>
      </c>
      <c r="I237" s="1" t="s">
        <v>0</v>
      </c>
      <c r="J237" s="1">
        <v>2</v>
      </c>
      <c r="K237" s="1">
        <v>2007</v>
      </c>
      <c r="L237" s="1"/>
      <c r="M237" s="1">
        <v>0</v>
      </c>
      <c r="N237" s="1">
        <v>0</v>
      </c>
      <c r="O237" s="1" t="e">
        <f>(N237-N236)/N236</f>
        <v>#DIV/0!</v>
      </c>
      <c r="P237" s="2">
        <v>39123</v>
      </c>
      <c r="Q237" s="1">
        <v>6</v>
      </c>
      <c r="R237" s="1"/>
    </row>
    <row r="238" spans="1:18" x14ac:dyDescent="0.2">
      <c r="A238" s="3">
        <v>237</v>
      </c>
      <c r="B238" s="2">
        <v>39131</v>
      </c>
      <c r="C238" s="1">
        <v>7.9172235115298195E-2</v>
      </c>
      <c r="D238" s="1" t="s">
        <v>0</v>
      </c>
      <c r="E238" s="1">
        <v>0</v>
      </c>
      <c r="F238" s="1">
        <v>0</v>
      </c>
      <c r="G238" s="1">
        <v>28.951805555555602</v>
      </c>
      <c r="H238" s="1" t="s">
        <v>0</v>
      </c>
      <c r="I238" s="1" t="s">
        <v>0</v>
      </c>
      <c r="J238" s="1">
        <v>2</v>
      </c>
      <c r="K238" s="1">
        <v>2007</v>
      </c>
      <c r="L238" s="1"/>
      <c r="M238" s="1">
        <v>0</v>
      </c>
      <c r="N238" s="1">
        <v>0</v>
      </c>
      <c r="O238" s="1" t="e">
        <f>(N238-N237)/N237</f>
        <v>#DIV/0!</v>
      </c>
      <c r="P238" s="2">
        <v>39131</v>
      </c>
      <c r="Q238" s="1">
        <v>7</v>
      </c>
      <c r="R238" s="1"/>
    </row>
    <row r="239" spans="1:18" x14ac:dyDescent="0.2">
      <c r="A239" s="3">
        <v>238</v>
      </c>
      <c r="B239" s="2">
        <v>39139</v>
      </c>
      <c r="C239" s="1">
        <v>7.9390876596758794E-2</v>
      </c>
      <c r="D239" s="1">
        <v>7.5262737770875304E-2</v>
      </c>
      <c r="E239" s="1">
        <v>0</v>
      </c>
      <c r="F239" s="1">
        <v>0</v>
      </c>
      <c r="G239" s="1">
        <v>28.841440972222198</v>
      </c>
      <c r="H239" s="1" t="s">
        <v>0</v>
      </c>
      <c r="I239" s="1" t="s">
        <v>0</v>
      </c>
      <c r="J239" s="1">
        <v>2</v>
      </c>
      <c r="K239" s="1">
        <v>2007</v>
      </c>
      <c r="L239" s="1"/>
      <c r="M239" s="1">
        <v>0</v>
      </c>
      <c r="N239" s="1">
        <v>0</v>
      </c>
      <c r="O239" s="1" t="e">
        <f>(N239-N238)/N238</f>
        <v>#DIV/0!</v>
      </c>
      <c r="P239" s="2">
        <v>39139</v>
      </c>
      <c r="Q239" s="1">
        <v>8</v>
      </c>
      <c r="R239" s="1"/>
    </row>
    <row r="240" spans="1:18" x14ac:dyDescent="0.2">
      <c r="A240" s="3">
        <v>239</v>
      </c>
      <c r="B240" s="2">
        <v>39147</v>
      </c>
      <c r="C240" s="1">
        <v>7.7811254068799005E-2</v>
      </c>
      <c r="D240" s="1">
        <v>7.2711551561951596E-2</v>
      </c>
      <c r="E240" s="1">
        <v>0</v>
      </c>
      <c r="F240" s="1">
        <v>0</v>
      </c>
      <c r="G240" s="1">
        <v>28.832986111111101</v>
      </c>
      <c r="H240" s="1" t="s">
        <v>0</v>
      </c>
      <c r="I240" s="1" t="s">
        <v>0</v>
      </c>
      <c r="J240" s="1">
        <v>3</v>
      </c>
      <c r="K240" s="1">
        <v>2007</v>
      </c>
      <c r="L240" s="1"/>
      <c r="M240" s="1">
        <v>0</v>
      </c>
      <c r="N240" s="1">
        <v>0</v>
      </c>
      <c r="O240" s="1" t="e">
        <f>(N240-N239)/N239</f>
        <v>#DIV/0!</v>
      </c>
      <c r="P240" s="2">
        <v>39147</v>
      </c>
      <c r="Q240" s="1">
        <v>9</v>
      </c>
      <c r="R240" s="1"/>
    </row>
    <row r="241" spans="1:18" x14ac:dyDescent="0.2">
      <c r="A241" s="3">
        <v>240</v>
      </c>
      <c r="B241" s="2">
        <v>39155</v>
      </c>
      <c r="C241" s="1">
        <v>6.9445135435585406E-2</v>
      </c>
      <c r="D241" s="1">
        <v>5.9040561939279201E-2</v>
      </c>
      <c r="E241" s="1">
        <v>0</v>
      </c>
      <c r="F241" s="1">
        <v>0</v>
      </c>
      <c r="G241" s="1">
        <v>29.146805555555598</v>
      </c>
      <c r="H241" s="1" t="s">
        <v>0</v>
      </c>
      <c r="I241" s="1" t="s">
        <v>0</v>
      </c>
      <c r="J241" s="1">
        <v>3</v>
      </c>
      <c r="K241" s="1">
        <v>2007</v>
      </c>
      <c r="L241" s="1"/>
      <c r="M241" s="1">
        <v>0</v>
      </c>
      <c r="N241" s="1">
        <v>0</v>
      </c>
      <c r="O241" s="1" t="e">
        <f>(N241-N240)/N240</f>
        <v>#DIV/0!</v>
      </c>
      <c r="P241" s="2">
        <v>39155</v>
      </c>
      <c r="Q241" s="1">
        <v>10</v>
      </c>
      <c r="R241" s="1"/>
    </row>
    <row r="242" spans="1:18" x14ac:dyDescent="0.2">
      <c r="A242" s="3">
        <v>241</v>
      </c>
      <c r="B242" s="2">
        <v>39163</v>
      </c>
      <c r="C242" s="1">
        <v>7.0049426810452203E-2</v>
      </c>
      <c r="D242" s="1">
        <v>6.0576718921462699E-2</v>
      </c>
      <c r="E242" s="1">
        <v>0</v>
      </c>
      <c r="F242" s="1">
        <v>0</v>
      </c>
      <c r="G242" s="1">
        <v>29.142656250000002</v>
      </c>
      <c r="H242" s="1" t="s">
        <v>0</v>
      </c>
      <c r="I242" s="1" t="s">
        <v>0</v>
      </c>
      <c r="J242" s="1">
        <v>3</v>
      </c>
      <c r="K242" s="1">
        <v>2007</v>
      </c>
      <c r="L242" s="1"/>
      <c r="M242" s="1">
        <v>0</v>
      </c>
      <c r="N242" s="1">
        <v>0</v>
      </c>
      <c r="O242" s="1" t="e">
        <f>(N242-N241)/N241</f>
        <v>#DIV/0!</v>
      </c>
      <c r="P242" s="2">
        <v>39163</v>
      </c>
      <c r="Q242" s="1">
        <v>11</v>
      </c>
      <c r="R242" s="1"/>
    </row>
    <row r="243" spans="1:18" x14ac:dyDescent="0.2">
      <c r="A243" s="3">
        <v>242</v>
      </c>
      <c r="B243" s="2">
        <v>39171</v>
      </c>
      <c r="C243" s="1">
        <v>7.9582551279835601E-2</v>
      </c>
      <c r="D243" s="1">
        <v>6.4106409996748007E-2</v>
      </c>
      <c r="E243" s="1">
        <v>0</v>
      </c>
      <c r="F243" s="1">
        <v>0</v>
      </c>
      <c r="G243" s="1">
        <v>29.012621527777799</v>
      </c>
      <c r="H243" s="1" t="s">
        <v>0</v>
      </c>
      <c r="I243" s="1" t="s">
        <v>0</v>
      </c>
      <c r="J243" s="1">
        <v>3</v>
      </c>
      <c r="K243" s="1">
        <v>2007</v>
      </c>
      <c r="L243" s="1"/>
      <c r="M243" s="1">
        <v>0</v>
      </c>
      <c r="N243" s="1">
        <v>0</v>
      </c>
      <c r="O243" s="1" t="e">
        <f>(N243-N242)/N242</f>
        <v>#DIV/0!</v>
      </c>
      <c r="P243" s="2">
        <v>39171</v>
      </c>
      <c r="Q243" s="1">
        <v>12</v>
      </c>
      <c r="R243" s="1"/>
    </row>
    <row r="244" spans="1:18" x14ac:dyDescent="0.2">
      <c r="A244" s="3">
        <v>243</v>
      </c>
      <c r="B244" s="2">
        <v>39179</v>
      </c>
      <c r="C244" s="1">
        <v>9.4307947760591093E-2</v>
      </c>
      <c r="D244" s="1">
        <v>7.7534224838018403E-2</v>
      </c>
      <c r="E244" s="1">
        <v>0</v>
      </c>
      <c r="F244" s="1">
        <v>0</v>
      </c>
      <c r="G244" s="1">
        <v>29.440746527777801</v>
      </c>
      <c r="H244" s="1" t="s">
        <v>0</v>
      </c>
      <c r="I244" s="1" t="s">
        <v>0</v>
      </c>
      <c r="J244" s="1">
        <v>4</v>
      </c>
      <c r="K244" s="1">
        <v>2007</v>
      </c>
      <c r="L244" s="1"/>
      <c r="M244" s="1">
        <v>0</v>
      </c>
      <c r="N244" s="1">
        <v>0</v>
      </c>
      <c r="O244" s="1" t="e">
        <f>(N244-N243)/N243</f>
        <v>#DIV/0!</v>
      </c>
      <c r="P244" s="2">
        <v>39179</v>
      </c>
      <c r="Q244" s="1">
        <v>13</v>
      </c>
      <c r="R244" s="1"/>
    </row>
    <row r="245" spans="1:18" x14ac:dyDescent="0.2">
      <c r="A245" s="3">
        <v>244</v>
      </c>
      <c r="B245" s="2">
        <v>39187</v>
      </c>
      <c r="C245" s="1">
        <v>0.10542201255226399</v>
      </c>
      <c r="D245" s="1">
        <v>0.10459887236356701</v>
      </c>
      <c r="E245" s="1">
        <v>0</v>
      </c>
      <c r="F245" s="1">
        <v>0</v>
      </c>
      <c r="G245" s="1">
        <v>29.444131944444401</v>
      </c>
      <c r="H245" s="1" t="s">
        <v>0</v>
      </c>
      <c r="I245" s="1" t="s">
        <v>0</v>
      </c>
      <c r="J245" s="1">
        <v>4</v>
      </c>
      <c r="K245" s="1">
        <v>2007</v>
      </c>
      <c r="L245" s="1"/>
      <c r="M245" s="1">
        <v>0</v>
      </c>
      <c r="N245" s="1">
        <v>0</v>
      </c>
      <c r="O245" s="1" t="e">
        <f>(N245-N244)/N244</f>
        <v>#DIV/0!</v>
      </c>
      <c r="P245" s="2">
        <v>39187</v>
      </c>
      <c r="Q245" s="1">
        <v>14</v>
      </c>
      <c r="R245" s="1"/>
    </row>
    <row r="246" spans="1:18" x14ac:dyDescent="0.2">
      <c r="A246" s="3">
        <v>245</v>
      </c>
      <c r="B246" s="2">
        <v>39195</v>
      </c>
      <c r="C246" s="1">
        <v>0.113238227173422</v>
      </c>
      <c r="D246" s="1">
        <v>0.102624510725339</v>
      </c>
      <c r="E246" s="1">
        <v>0</v>
      </c>
      <c r="F246" s="1">
        <v>0</v>
      </c>
      <c r="G246" s="1">
        <v>29.491406250000001</v>
      </c>
      <c r="H246" s="1" t="s">
        <v>0</v>
      </c>
      <c r="I246" s="1" t="s">
        <v>0</v>
      </c>
      <c r="J246" s="1">
        <v>4</v>
      </c>
      <c r="K246" s="1">
        <v>2007</v>
      </c>
      <c r="L246" s="1"/>
      <c r="M246" s="1">
        <v>0</v>
      </c>
      <c r="N246" s="1">
        <v>0</v>
      </c>
      <c r="O246" s="1" t="e">
        <f>(N246-N245)/N245</f>
        <v>#DIV/0!</v>
      </c>
      <c r="P246" s="2">
        <v>39195</v>
      </c>
      <c r="Q246" s="1">
        <v>15</v>
      </c>
      <c r="R246" s="1"/>
    </row>
    <row r="247" spans="1:18" x14ac:dyDescent="0.2">
      <c r="A247" s="3">
        <v>246</v>
      </c>
      <c r="B247" s="2">
        <v>39203</v>
      </c>
      <c r="C247" s="1">
        <v>0.128226031390269</v>
      </c>
      <c r="D247" s="1">
        <v>0.12514855836828601</v>
      </c>
      <c r="E247" s="1">
        <v>0</v>
      </c>
      <c r="F247" s="1">
        <v>0</v>
      </c>
      <c r="G247" s="1">
        <v>29.1856076388889</v>
      </c>
      <c r="H247" s="1" t="s">
        <v>0</v>
      </c>
      <c r="I247" s="1" t="s">
        <v>0</v>
      </c>
      <c r="J247" s="1">
        <v>5</v>
      </c>
      <c r="K247" s="1">
        <v>2007</v>
      </c>
      <c r="L247" s="1"/>
      <c r="M247" s="1">
        <v>0</v>
      </c>
      <c r="N247" s="1">
        <v>0</v>
      </c>
      <c r="O247" s="1" t="e">
        <f>(N247-N246)/N246</f>
        <v>#DIV/0!</v>
      </c>
      <c r="P247" s="2">
        <v>39203</v>
      </c>
      <c r="Q247" s="1">
        <v>16</v>
      </c>
      <c r="R247" s="1"/>
    </row>
    <row r="248" spans="1:18" x14ac:dyDescent="0.2">
      <c r="A248" s="3">
        <v>247</v>
      </c>
      <c r="B248" s="2">
        <v>39211</v>
      </c>
      <c r="C248" s="1">
        <v>0.133460760777871</v>
      </c>
      <c r="D248" s="1">
        <v>0.13155915960669501</v>
      </c>
      <c r="E248" s="1">
        <v>0</v>
      </c>
      <c r="F248" s="1">
        <v>0</v>
      </c>
      <c r="G248" s="1">
        <v>28.706875</v>
      </c>
      <c r="H248" s="1" t="s">
        <v>0</v>
      </c>
      <c r="I248" s="1" t="s">
        <v>0</v>
      </c>
      <c r="J248" s="1">
        <v>5</v>
      </c>
      <c r="K248" s="1">
        <v>2007</v>
      </c>
      <c r="L248" s="1"/>
      <c r="M248" s="1">
        <v>0</v>
      </c>
      <c r="N248" s="1">
        <v>0</v>
      </c>
      <c r="O248" s="1" t="e">
        <f>(N248-N247)/N247</f>
        <v>#DIV/0!</v>
      </c>
      <c r="P248" s="2">
        <v>39211</v>
      </c>
      <c r="Q248" s="1">
        <v>17</v>
      </c>
      <c r="R248" s="1"/>
    </row>
    <row r="249" spans="1:18" x14ac:dyDescent="0.2">
      <c r="A249" s="3">
        <v>248</v>
      </c>
      <c r="B249" s="2">
        <v>39219</v>
      </c>
      <c r="C249" s="1">
        <v>0.14613229017468901</v>
      </c>
      <c r="D249" s="1">
        <v>0.118464006111026</v>
      </c>
      <c r="E249" s="1">
        <v>0</v>
      </c>
      <c r="F249" s="1">
        <v>0</v>
      </c>
      <c r="G249" s="1">
        <v>28.158975694444401</v>
      </c>
      <c r="H249" s="1" t="s">
        <v>0</v>
      </c>
      <c r="I249" s="1" t="s">
        <v>0</v>
      </c>
      <c r="J249" s="1">
        <v>5</v>
      </c>
      <c r="K249" s="1">
        <v>2007</v>
      </c>
      <c r="L249" s="1"/>
      <c r="M249" s="1">
        <v>0</v>
      </c>
      <c r="N249" s="1">
        <v>0</v>
      </c>
      <c r="O249" s="1" t="e">
        <f>(N249-N248)/N248</f>
        <v>#DIV/0!</v>
      </c>
      <c r="P249" s="2">
        <v>39219</v>
      </c>
      <c r="Q249" s="1">
        <v>18</v>
      </c>
      <c r="R249" s="1"/>
    </row>
    <row r="250" spans="1:18" x14ac:dyDescent="0.2">
      <c r="A250" s="3">
        <v>249</v>
      </c>
      <c r="B250" s="2">
        <v>39227</v>
      </c>
      <c r="C250" s="1">
        <v>0.14137776636677499</v>
      </c>
      <c r="D250" s="1">
        <v>0.12514140581091199</v>
      </c>
      <c r="E250" s="1">
        <v>0</v>
      </c>
      <c r="F250" s="1">
        <v>0</v>
      </c>
      <c r="G250" s="1">
        <v>28.148645833333301</v>
      </c>
      <c r="H250" s="1" t="s">
        <v>0</v>
      </c>
      <c r="I250" s="1" t="s">
        <v>0</v>
      </c>
      <c r="J250" s="1">
        <v>5</v>
      </c>
      <c r="K250" s="1">
        <v>2007</v>
      </c>
      <c r="L250" s="1"/>
      <c r="M250" s="1">
        <v>0</v>
      </c>
      <c r="N250" s="1">
        <v>0</v>
      </c>
      <c r="O250" s="1" t="e">
        <f>(N250-N249)/N249</f>
        <v>#DIV/0!</v>
      </c>
      <c r="P250" s="2">
        <v>39227</v>
      </c>
      <c r="Q250" s="1">
        <v>19</v>
      </c>
      <c r="R250" s="1"/>
    </row>
    <row r="251" spans="1:18" x14ac:dyDescent="0.2">
      <c r="A251" s="3">
        <v>250</v>
      </c>
      <c r="B251" s="2">
        <v>39235</v>
      </c>
      <c r="C251" s="1">
        <v>0.211412773947039</v>
      </c>
      <c r="D251" s="1">
        <v>0.214449795583884</v>
      </c>
      <c r="E251" s="1">
        <v>0</v>
      </c>
      <c r="F251" s="1">
        <v>0</v>
      </c>
      <c r="G251" s="1">
        <v>28.035642361111101</v>
      </c>
      <c r="H251" s="1" t="s">
        <v>0</v>
      </c>
      <c r="I251" s="1" t="s">
        <v>0</v>
      </c>
      <c r="J251" s="1">
        <v>6</v>
      </c>
      <c r="K251" s="1">
        <v>2007</v>
      </c>
      <c r="L251" s="1"/>
      <c r="M251" s="1">
        <v>0</v>
      </c>
      <c r="N251" s="1">
        <v>0</v>
      </c>
      <c r="O251" s="1" t="e">
        <f>(N251-N250)/N250</f>
        <v>#DIV/0!</v>
      </c>
      <c r="P251" s="2">
        <v>39235</v>
      </c>
      <c r="Q251" s="1">
        <v>20</v>
      </c>
      <c r="R251" s="1"/>
    </row>
    <row r="252" spans="1:18" x14ac:dyDescent="0.2">
      <c r="A252" s="3">
        <v>251</v>
      </c>
      <c r="B252" s="2">
        <v>39243</v>
      </c>
      <c r="C252" s="1">
        <v>0.173414834359157</v>
      </c>
      <c r="D252" s="1">
        <v>0.158261475463708</v>
      </c>
      <c r="E252" s="1">
        <v>0</v>
      </c>
      <c r="F252" s="1">
        <v>0</v>
      </c>
      <c r="G252" s="1">
        <v>28.0622569444444</v>
      </c>
      <c r="H252" s="1" t="s">
        <v>0</v>
      </c>
      <c r="I252" s="1" t="s">
        <v>0</v>
      </c>
      <c r="J252" s="1">
        <v>6</v>
      </c>
      <c r="K252" s="1">
        <v>2007</v>
      </c>
      <c r="L252" s="1"/>
      <c r="M252" s="1">
        <v>0</v>
      </c>
      <c r="N252" s="1">
        <v>0</v>
      </c>
      <c r="O252" s="1" t="e">
        <f>(N252-N251)/N251</f>
        <v>#DIV/0!</v>
      </c>
      <c r="P252" s="2">
        <v>39243</v>
      </c>
      <c r="Q252" s="1">
        <v>21</v>
      </c>
      <c r="R252" s="1"/>
    </row>
    <row r="253" spans="1:18" x14ac:dyDescent="0.2">
      <c r="A253" s="3">
        <v>252</v>
      </c>
      <c r="B253" s="2">
        <v>39251</v>
      </c>
      <c r="C253" s="1">
        <v>0.16348152078644099</v>
      </c>
      <c r="D253" s="1">
        <v>0.15495752791563699</v>
      </c>
      <c r="E253" s="1">
        <v>0</v>
      </c>
      <c r="F253" s="1">
        <v>0</v>
      </c>
      <c r="G253" s="1">
        <v>27.804704861111102</v>
      </c>
      <c r="H253" s="1" t="s">
        <v>0</v>
      </c>
      <c r="I253" s="1" t="s">
        <v>0</v>
      </c>
      <c r="J253" s="1">
        <v>6</v>
      </c>
      <c r="K253" s="1">
        <v>2007</v>
      </c>
      <c r="L253" s="1"/>
      <c r="M253" s="1">
        <v>0</v>
      </c>
      <c r="N253" s="1">
        <v>0</v>
      </c>
      <c r="O253" s="1" t="e">
        <f>(N253-N252)/N252</f>
        <v>#DIV/0!</v>
      </c>
      <c r="P253" s="2">
        <v>39251</v>
      </c>
      <c r="Q253" s="1">
        <v>22</v>
      </c>
      <c r="R253" s="1"/>
    </row>
    <row r="254" spans="1:18" x14ac:dyDescent="0.2">
      <c r="A254" s="3">
        <v>253</v>
      </c>
      <c r="B254" s="2">
        <v>39259</v>
      </c>
      <c r="C254" s="1">
        <v>0.18560257438057201</v>
      </c>
      <c r="D254" s="1">
        <v>0.1712450136741</v>
      </c>
      <c r="E254" s="1">
        <v>0</v>
      </c>
      <c r="F254" s="1">
        <v>0</v>
      </c>
      <c r="G254" s="1">
        <v>27.421423611111098</v>
      </c>
      <c r="H254" s="1" t="s">
        <v>0</v>
      </c>
      <c r="I254" s="1" t="s">
        <v>0</v>
      </c>
      <c r="J254" s="1">
        <v>6</v>
      </c>
      <c r="K254" s="1">
        <v>2007</v>
      </c>
      <c r="L254" s="1"/>
      <c r="M254" s="1">
        <v>0</v>
      </c>
      <c r="N254" s="1">
        <v>0</v>
      </c>
      <c r="O254" s="1" t="e">
        <f>(N254-N253)/N253</f>
        <v>#DIV/0!</v>
      </c>
      <c r="P254" s="2">
        <v>39259</v>
      </c>
      <c r="Q254" s="1">
        <v>23</v>
      </c>
      <c r="R254" s="1"/>
    </row>
    <row r="255" spans="1:18" x14ac:dyDescent="0.2">
      <c r="A255" s="3">
        <v>254</v>
      </c>
      <c r="B255" s="2">
        <v>39267</v>
      </c>
      <c r="C255" s="1">
        <v>0.19477815016127001</v>
      </c>
      <c r="D255" s="1">
        <v>0.18448501452803601</v>
      </c>
      <c r="E255" s="1">
        <v>0</v>
      </c>
      <c r="F255" s="1">
        <v>0</v>
      </c>
      <c r="G255" s="1">
        <v>27.1227951388889</v>
      </c>
      <c r="H255" s="1" t="s">
        <v>0</v>
      </c>
      <c r="I255" s="1" t="s">
        <v>0</v>
      </c>
      <c r="J255" s="1">
        <v>7</v>
      </c>
      <c r="K255" s="1">
        <v>2007</v>
      </c>
      <c r="L255" s="1"/>
      <c r="M255" s="1">
        <v>0</v>
      </c>
      <c r="N255" s="1">
        <v>0</v>
      </c>
      <c r="O255" s="1" t="e">
        <f>(N255-N254)/N254</f>
        <v>#DIV/0!</v>
      </c>
      <c r="P255" s="2">
        <v>39267</v>
      </c>
      <c r="Q255" s="1">
        <v>24</v>
      </c>
      <c r="R255" s="1"/>
    </row>
    <row r="256" spans="1:18" x14ac:dyDescent="0.2">
      <c r="A256" s="3">
        <v>255</v>
      </c>
      <c r="B256" s="2">
        <v>39275</v>
      </c>
      <c r="C256" s="1">
        <v>0.25593338759714102</v>
      </c>
      <c r="D256" s="1">
        <v>0.24598258733749401</v>
      </c>
      <c r="E256" s="1">
        <v>0</v>
      </c>
      <c r="F256" s="1">
        <v>0</v>
      </c>
      <c r="G256" s="1">
        <v>26.745642361111098</v>
      </c>
      <c r="H256" s="1" t="s">
        <v>0</v>
      </c>
      <c r="I256" s="1" t="s">
        <v>0</v>
      </c>
      <c r="J256" s="1">
        <v>7</v>
      </c>
      <c r="K256" s="1">
        <v>2007</v>
      </c>
      <c r="L256" s="1"/>
      <c r="M256" s="1">
        <v>0</v>
      </c>
      <c r="N256" s="1">
        <v>0</v>
      </c>
      <c r="O256" s="1" t="e">
        <f>(N256-N255)/N255</f>
        <v>#DIV/0!</v>
      </c>
      <c r="P256" s="2">
        <v>39275</v>
      </c>
      <c r="Q256" s="1">
        <v>25</v>
      </c>
      <c r="R256" s="1"/>
    </row>
    <row r="257" spans="1:18" x14ac:dyDescent="0.2">
      <c r="A257" s="3">
        <v>256</v>
      </c>
      <c r="B257" s="2">
        <v>39283</v>
      </c>
      <c r="C257" s="1">
        <v>0.32078877735067401</v>
      </c>
      <c r="D257" s="1">
        <v>0.35014015436172502</v>
      </c>
      <c r="E257" s="1">
        <v>0</v>
      </c>
      <c r="F257" s="1">
        <v>0</v>
      </c>
      <c r="G257" s="1">
        <v>26.699427083333301</v>
      </c>
      <c r="H257" s="1" t="s">
        <v>0</v>
      </c>
      <c r="I257" s="1" t="s">
        <v>0</v>
      </c>
      <c r="J257" s="1">
        <v>7</v>
      </c>
      <c r="K257" s="1">
        <v>2007</v>
      </c>
      <c r="L257" s="1"/>
      <c r="M257" s="1">
        <v>0</v>
      </c>
      <c r="N257" s="1">
        <v>0</v>
      </c>
      <c r="O257" s="1" t="e">
        <f>(N257-N256)/N256</f>
        <v>#DIV/0!</v>
      </c>
      <c r="P257" s="2">
        <v>39283</v>
      </c>
      <c r="Q257" s="1">
        <v>26</v>
      </c>
      <c r="R257" s="1"/>
    </row>
    <row r="258" spans="1:18" x14ac:dyDescent="0.2">
      <c r="A258" s="3">
        <v>257</v>
      </c>
      <c r="B258" s="2">
        <v>39291</v>
      </c>
      <c r="C258" s="1">
        <v>0.37315764247313099</v>
      </c>
      <c r="D258" s="1">
        <v>0.45459806422392501</v>
      </c>
      <c r="E258" s="1">
        <v>0</v>
      </c>
      <c r="F258" s="1">
        <v>0</v>
      </c>
      <c r="G258" s="1">
        <v>26.322256944444401</v>
      </c>
      <c r="H258" s="1" t="s">
        <v>0</v>
      </c>
      <c r="I258" s="1" t="s">
        <v>0</v>
      </c>
      <c r="J258" s="1">
        <v>7</v>
      </c>
      <c r="K258" s="1">
        <v>2007</v>
      </c>
      <c r="L258" s="1"/>
      <c r="M258" s="1">
        <v>0</v>
      </c>
      <c r="N258" s="1">
        <v>0</v>
      </c>
      <c r="O258" s="1" t="e">
        <f>(N258-N257)/N257</f>
        <v>#DIV/0!</v>
      </c>
      <c r="P258" s="2">
        <v>39291</v>
      </c>
      <c r="Q258" s="1">
        <v>27</v>
      </c>
      <c r="R258" s="1"/>
    </row>
    <row r="259" spans="1:18" x14ac:dyDescent="0.2">
      <c r="A259" s="3">
        <v>258</v>
      </c>
      <c r="B259" s="2">
        <v>39299</v>
      </c>
      <c r="C259" s="1">
        <v>0.30007260183735601</v>
      </c>
      <c r="D259" s="1">
        <v>0.36193721493085201</v>
      </c>
      <c r="E259" s="1">
        <v>0</v>
      </c>
      <c r="F259" s="1">
        <v>0</v>
      </c>
      <c r="G259" s="1">
        <v>26.503055555555601</v>
      </c>
      <c r="H259" s="1" t="s">
        <v>0</v>
      </c>
      <c r="I259" s="1" t="s">
        <v>0</v>
      </c>
      <c r="J259" s="1">
        <v>8</v>
      </c>
      <c r="K259" s="1">
        <v>2007</v>
      </c>
      <c r="L259" s="1"/>
      <c r="M259" s="1">
        <v>0</v>
      </c>
      <c r="N259" s="1">
        <v>0</v>
      </c>
      <c r="O259" s="1" t="e">
        <f>(N259-N258)/N258</f>
        <v>#DIV/0!</v>
      </c>
      <c r="P259" s="2">
        <v>39299</v>
      </c>
      <c r="Q259" s="1">
        <v>28</v>
      </c>
      <c r="R259" s="1"/>
    </row>
    <row r="260" spans="1:18" x14ac:dyDescent="0.2">
      <c r="A260" s="3">
        <v>259</v>
      </c>
      <c r="B260" s="2">
        <v>39307</v>
      </c>
      <c r="C260" s="1">
        <v>0.242263751725356</v>
      </c>
      <c r="D260" s="1">
        <v>0.24480942388375601</v>
      </c>
      <c r="E260" s="1">
        <v>0</v>
      </c>
      <c r="F260" s="1">
        <v>0</v>
      </c>
      <c r="G260" s="1">
        <v>26.8098958333333</v>
      </c>
      <c r="H260" s="1" t="s">
        <v>0</v>
      </c>
      <c r="I260" s="1" t="s">
        <v>0</v>
      </c>
      <c r="J260" s="1">
        <v>8</v>
      </c>
      <c r="K260" s="1">
        <v>2007</v>
      </c>
      <c r="L260" s="1"/>
      <c r="M260" s="1">
        <v>0</v>
      </c>
      <c r="N260" s="1">
        <v>0</v>
      </c>
      <c r="O260" s="1" t="e">
        <f>(N260-N259)/N259</f>
        <v>#DIV/0!</v>
      </c>
      <c r="P260" s="2">
        <v>39307</v>
      </c>
      <c r="Q260" s="1">
        <v>29</v>
      </c>
      <c r="R260" s="1"/>
    </row>
    <row r="261" spans="1:18" x14ac:dyDescent="0.2">
      <c r="A261" s="3">
        <v>260</v>
      </c>
      <c r="B261" s="2">
        <v>39315</v>
      </c>
      <c r="C261" s="1">
        <v>0.27344334325870501</v>
      </c>
      <c r="D261" s="1">
        <v>0.25607615709304798</v>
      </c>
      <c r="E261" s="1">
        <v>0</v>
      </c>
      <c r="F261" s="1">
        <v>0</v>
      </c>
      <c r="G261" s="1">
        <v>26.8907465277778</v>
      </c>
      <c r="H261" s="1" t="s">
        <v>0</v>
      </c>
      <c r="I261" s="1" t="s">
        <v>0</v>
      </c>
      <c r="J261" s="1">
        <v>8</v>
      </c>
      <c r="K261" s="1">
        <v>2007</v>
      </c>
      <c r="L261" s="1"/>
      <c r="M261" s="1">
        <v>0</v>
      </c>
      <c r="N261" s="1">
        <v>0</v>
      </c>
      <c r="O261" s="1" t="e">
        <f>(N261-N260)/N260</f>
        <v>#DIV/0!</v>
      </c>
      <c r="P261" s="2">
        <v>39315</v>
      </c>
      <c r="Q261" s="1">
        <v>30</v>
      </c>
      <c r="R261" s="1"/>
    </row>
    <row r="262" spans="1:18" x14ac:dyDescent="0.2">
      <c r="A262" s="3">
        <v>261</v>
      </c>
      <c r="B262" s="2">
        <v>39323</v>
      </c>
      <c r="C262" s="1">
        <v>0.25123031688796998</v>
      </c>
      <c r="D262" s="1">
        <v>0.27082119137048699</v>
      </c>
      <c r="E262" s="1">
        <v>0</v>
      </c>
      <c r="F262" s="1">
        <v>0</v>
      </c>
      <c r="G262" s="1">
        <v>27.294357638888901</v>
      </c>
      <c r="H262" s="1" t="s">
        <v>0</v>
      </c>
      <c r="I262" s="1" t="s">
        <v>0</v>
      </c>
      <c r="J262" s="1">
        <v>8</v>
      </c>
      <c r="K262" s="1">
        <v>2007</v>
      </c>
      <c r="L262" s="1"/>
      <c r="M262" s="1">
        <v>0</v>
      </c>
      <c r="N262" s="1">
        <v>0</v>
      </c>
      <c r="O262" s="1" t="e">
        <f>(N262-N261)/N261</f>
        <v>#DIV/0!</v>
      </c>
      <c r="P262" s="2">
        <v>39323</v>
      </c>
      <c r="Q262" s="1">
        <v>31</v>
      </c>
      <c r="R262" s="1"/>
    </row>
    <row r="263" spans="1:18" x14ac:dyDescent="0.2">
      <c r="A263" s="3">
        <v>262</v>
      </c>
      <c r="B263" s="2">
        <v>39331</v>
      </c>
      <c r="C263" s="1">
        <v>0.18938590262247201</v>
      </c>
      <c r="D263" s="1">
        <v>0.170336619019508</v>
      </c>
      <c r="E263" s="1">
        <v>1.7</v>
      </c>
      <c r="F263" s="1">
        <v>1.7</v>
      </c>
      <c r="G263" s="1">
        <v>27.2084895833333</v>
      </c>
      <c r="H263" s="1" t="s">
        <v>0</v>
      </c>
      <c r="I263" s="1" t="s">
        <v>0</v>
      </c>
      <c r="J263" s="1">
        <v>9</v>
      </c>
      <c r="K263" s="1">
        <v>2007</v>
      </c>
      <c r="L263" s="1"/>
      <c r="M263" s="1">
        <v>0</v>
      </c>
      <c r="N263" s="1">
        <v>0</v>
      </c>
      <c r="O263" s="1" t="e">
        <f>(N263-N262)/N262</f>
        <v>#DIV/0!</v>
      </c>
      <c r="P263" s="2">
        <v>39331</v>
      </c>
      <c r="Q263" s="1">
        <v>32</v>
      </c>
      <c r="R263" s="1"/>
    </row>
    <row r="264" spans="1:18" x14ac:dyDescent="0.2">
      <c r="A264" s="3">
        <v>263</v>
      </c>
      <c r="B264" s="2">
        <v>39339</v>
      </c>
      <c r="C264" s="1">
        <v>0.15778029859974599</v>
      </c>
      <c r="D264" s="1">
        <v>0.17252100755770999</v>
      </c>
      <c r="E264" s="1">
        <v>0</v>
      </c>
      <c r="F264" s="1">
        <v>0</v>
      </c>
      <c r="G264" s="1">
        <v>27.2086458333333</v>
      </c>
      <c r="H264" s="1" t="s">
        <v>0</v>
      </c>
      <c r="I264" s="1" t="s">
        <v>0</v>
      </c>
      <c r="J264" s="1">
        <v>9</v>
      </c>
      <c r="K264" s="1">
        <v>2007</v>
      </c>
      <c r="L264" s="1"/>
      <c r="M264" s="1">
        <v>0</v>
      </c>
      <c r="N264" s="1">
        <v>0</v>
      </c>
      <c r="O264" s="1" t="e">
        <f>(N264-N263)/N263</f>
        <v>#DIV/0!</v>
      </c>
      <c r="P264" s="2">
        <v>39339</v>
      </c>
      <c r="Q264" s="1">
        <v>33</v>
      </c>
      <c r="R264" s="1"/>
    </row>
    <row r="265" spans="1:18" x14ac:dyDescent="0.2">
      <c r="A265" s="3">
        <v>264</v>
      </c>
      <c r="B265" s="2">
        <v>39347</v>
      </c>
      <c r="C265" s="1">
        <v>0.12673164731157699</v>
      </c>
      <c r="D265" s="1">
        <v>0.11469843238592101</v>
      </c>
      <c r="E265" s="1">
        <v>0</v>
      </c>
      <c r="F265" s="1">
        <v>0</v>
      </c>
      <c r="G265" s="1">
        <v>27.224531249999998</v>
      </c>
      <c r="H265" s="1" t="s">
        <v>0</v>
      </c>
      <c r="I265" s="1" t="s">
        <v>0</v>
      </c>
      <c r="J265" s="1">
        <v>9</v>
      </c>
      <c r="K265" s="1">
        <v>2007</v>
      </c>
      <c r="L265" s="1"/>
      <c r="M265" s="1">
        <v>0</v>
      </c>
      <c r="N265" s="1">
        <v>0</v>
      </c>
      <c r="O265" s="1" t="e">
        <f>(N265-N264)/N264</f>
        <v>#DIV/0!</v>
      </c>
      <c r="P265" s="2">
        <v>39347</v>
      </c>
      <c r="Q265" s="1">
        <v>34</v>
      </c>
      <c r="R265" s="1"/>
    </row>
    <row r="266" spans="1:18" x14ac:dyDescent="0.2">
      <c r="A266" s="3">
        <v>265</v>
      </c>
      <c r="B266" s="2">
        <v>39355</v>
      </c>
      <c r="C266" s="1">
        <v>0.11155204596110101</v>
      </c>
      <c r="D266" s="1">
        <v>0.111832106113434</v>
      </c>
      <c r="E266" s="1">
        <v>0</v>
      </c>
      <c r="F266" s="1">
        <v>0</v>
      </c>
      <c r="G266" s="1">
        <v>27.5769791666667</v>
      </c>
      <c r="H266" s="1" t="s">
        <v>0</v>
      </c>
      <c r="I266" s="1" t="s">
        <v>0</v>
      </c>
      <c r="J266" s="1">
        <v>9</v>
      </c>
      <c r="K266" s="1">
        <v>2007</v>
      </c>
      <c r="L266" s="1"/>
      <c r="M266" s="1">
        <v>0</v>
      </c>
      <c r="N266" s="1">
        <v>0</v>
      </c>
      <c r="O266" s="1" t="e">
        <f>(N266-N265)/N265</f>
        <v>#DIV/0!</v>
      </c>
      <c r="P266" s="2">
        <v>39355</v>
      </c>
      <c r="Q266" s="1">
        <v>35</v>
      </c>
      <c r="R266" s="1"/>
    </row>
    <row r="267" spans="1:18" x14ac:dyDescent="0.2">
      <c r="A267" s="3">
        <v>266</v>
      </c>
      <c r="B267" s="2">
        <v>39363</v>
      </c>
      <c r="C267" s="1">
        <v>0.11966656816794601</v>
      </c>
      <c r="D267" s="1">
        <v>0.12074239924550099</v>
      </c>
      <c r="E267" s="1">
        <v>0</v>
      </c>
      <c r="F267" s="1">
        <v>0</v>
      </c>
      <c r="G267" s="1">
        <v>27.954565972222198</v>
      </c>
      <c r="H267" s="1" t="s">
        <v>0</v>
      </c>
      <c r="I267" s="1">
        <v>0.59151009046624903</v>
      </c>
      <c r="J267" s="1">
        <v>10</v>
      </c>
      <c r="K267" s="1">
        <v>2007</v>
      </c>
      <c r="L267" s="1"/>
      <c r="M267" s="1">
        <v>0</v>
      </c>
      <c r="N267" s="1">
        <v>0</v>
      </c>
      <c r="O267" s="1" t="e">
        <f>(N267-N266)/N266</f>
        <v>#DIV/0!</v>
      </c>
      <c r="P267" s="2">
        <v>39363</v>
      </c>
      <c r="Q267" s="1">
        <v>36</v>
      </c>
      <c r="R267" s="1"/>
    </row>
    <row r="268" spans="1:18" x14ac:dyDescent="0.2">
      <c r="A268" s="3">
        <v>267</v>
      </c>
      <c r="B268" s="2">
        <v>39371</v>
      </c>
      <c r="C268" s="1">
        <v>0.110314576088318</v>
      </c>
      <c r="D268" s="1">
        <v>0.10590424264470701</v>
      </c>
      <c r="E268" s="1">
        <v>143.69999999999999</v>
      </c>
      <c r="F268" s="1">
        <v>85</v>
      </c>
      <c r="G268" s="1">
        <v>28.1288715277778</v>
      </c>
      <c r="H268" s="1">
        <v>0.59151009046624903</v>
      </c>
      <c r="I268" s="1">
        <v>0.900836320191159</v>
      </c>
      <c r="J268" s="1">
        <v>10</v>
      </c>
      <c r="K268" s="1">
        <v>2007</v>
      </c>
      <c r="L268" s="1">
        <v>0.59151009046624903</v>
      </c>
      <c r="N268" s="1">
        <v>0.59151009046624903</v>
      </c>
      <c r="O268" s="1" t="e">
        <f>(N268-N267)/N267</f>
        <v>#DIV/0!</v>
      </c>
      <c r="P268" s="2">
        <v>39371</v>
      </c>
      <c r="Q268" s="1">
        <v>37</v>
      </c>
      <c r="R268" s="1"/>
    </row>
    <row r="269" spans="1:18" x14ac:dyDescent="0.2">
      <c r="A269" s="3">
        <v>268</v>
      </c>
      <c r="B269" s="2">
        <v>39379</v>
      </c>
      <c r="C269" s="1">
        <v>0.116361575829383</v>
      </c>
      <c r="D269" s="1">
        <v>0.109437050918738</v>
      </c>
      <c r="E269" s="1">
        <v>167.4</v>
      </c>
      <c r="F269" s="1">
        <v>150.80000000000001</v>
      </c>
      <c r="G269" s="1">
        <v>28.3918923611111</v>
      </c>
      <c r="H269" s="1">
        <v>0.900836320191159</v>
      </c>
      <c r="I269" s="1">
        <v>0.97386304234187104</v>
      </c>
      <c r="J269" s="1">
        <v>10</v>
      </c>
      <c r="K269" s="1">
        <v>2007</v>
      </c>
      <c r="L269" s="1">
        <v>0.900836320191159</v>
      </c>
      <c r="N269" s="1">
        <v>0.900836320191159</v>
      </c>
      <c r="O269" s="1">
        <f>(N269-N268)/N268</f>
        <v>0.52294328484081853</v>
      </c>
      <c r="P269" s="2">
        <v>39379</v>
      </c>
      <c r="Q269" s="1">
        <v>38</v>
      </c>
      <c r="R269" s="1"/>
    </row>
    <row r="270" spans="1:18" x14ac:dyDescent="0.2">
      <c r="A270" s="3">
        <v>269</v>
      </c>
      <c r="B270" s="2">
        <v>39387</v>
      </c>
      <c r="C270" s="1">
        <v>0.121893729453217</v>
      </c>
      <c r="D270" s="1">
        <v>0.124212379256884</v>
      </c>
      <c r="E270" s="1">
        <v>191.3</v>
      </c>
      <c r="F270" s="1">
        <v>186.3</v>
      </c>
      <c r="G270" s="1">
        <v>28.6788194444444</v>
      </c>
      <c r="H270" s="1">
        <v>0.97386304234187104</v>
      </c>
      <c r="I270" s="1">
        <v>0.45336112558624297</v>
      </c>
      <c r="J270" s="1">
        <v>11</v>
      </c>
      <c r="K270" s="1">
        <v>2007</v>
      </c>
      <c r="L270" s="1">
        <v>0.97386304234187104</v>
      </c>
      <c r="N270" s="1">
        <v>0.97386304234187104</v>
      </c>
      <c r="O270" s="1">
        <f>(N270-N269)/N269</f>
        <v>8.106547273228909E-2</v>
      </c>
      <c r="P270" s="2">
        <v>39387</v>
      </c>
      <c r="Q270" s="1">
        <v>39</v>
      </c>
      <c r="R270" s="1"/>
    </row>
    <row r="271" spans="1:18" x14ac:dyDescent="0.2">
      <c r="A271" s="3">
        <v>270</v>
      </c>
      <c r="B271" s="2">
        <v>39395</v>
      </c>
      <c r="C271" s="1">
        <v>0.11259306568389001</v>
      </c>
      <c r="D271" s="1">
        <v>9.7190253436565399E-2</v>
      </c>
      <c r="E271" s="1">
        <v>191.9</v>
      </c>
      <c r="F271" s="1">
        <v>87</v>
      </c>
      <c r="G271" s="1">
        <v>28.767812500000002</v>
      </c>
      <c r="H271" s="1">
        <v>0.45336112558624297</v>
      </c>
      <c r="I271" s="1">
        <v>0.32291666666666702</v>
      </c>
      <c r="J271" s="1">
        <v>11</v>
      </c>
      <c r="K271" s="1">
        <v>2007</v>
      </c>
      <c r="L271" s="1">
        <v>0.45336112558624297</v>
      </c>
      <c r="N271" s="1">
        <v>0.45336112558624297</v>
      </c>
      <c r="O271" s="1">
        <f>(N271-N270)/N270</f>
        <v>-0.53447137238514053</v>
      </c>
      <c r="P271" s="2">
        <v>39395</v>
      </c>
      <c r="Q271" s="1">
        <v>40</v>
      </c>
      <c r="R271" s="1"/>
    </row>
    <row r="272" spans="1:18" x14ac:dyDescent="0.2">
      <c r="A272" s="3">
        <v>271</v>
      </c>
      <c r="B272" s="5">
        <v>39403</v>
      </c>
      <c r="C272" s="1">
        <v>8.3157554268837003E-2</v>
      </c>
      <c r="D272" s="1" t="s">
        <v>0</v>
      </c>
      <c r="E272" s="1">
        <v>192</v>
      </c>
      <c r="F272" s="1">
        <v>62</v>
      </c>
      <c r="G272" s="1">
        <v>28.76515625</v>
      </c>
      <c r="H272" s="1">
        <v>0.32291666666666702</v>
      </c>
      <c r="I272" s="1">
        <v>2.13219616204691E-2</v>
      </c>
      <c r="J272" s="1">
        <v>11</v>
      </c>
      <c r="K272" s="1">
        <v>2007</v>
      </c>
      <c r="L272" s="1">
        <v>0.32291666666666702</v>
      </c>
      <c r="N272" s="1">
        <v>0.32291666666666702</v>
      </c>
      <c r="O272" s="1">
        <f>(N272-N271)/N271</f>
        <v>-0.2877274904214554</v>
      </c>
      <c r="P272" s="5">
        <v>39403</v>
      </c>
      <c r="Q272" s="1">
        <v>41</v>
      </c>
      <c r="R272" s="1"/>
    </row>
    <row r="273" spans="1:18" x14ac:dyDescent="0.2">
      <c r="A273" s="3">
        <v>272</v>
      </c>
      <c r="B273" s="2">
        <v>39411</v>
      </c>
      <c r="C273" s="1">
        <v>8.6924927518565301E-2</v>
      </c>
      <c r="D273" s="1">
        <v>7.9577767600615801E-2</v>
      </c>
      <c r="E273" s="1">
        <v>187.6</v>
      </c>
      <c r="F273" s="1">
        <v>4</v>
      </c>
      <c r="G273" s="1">
        <v>28.630104166666701</v>
      </c>
      <c r="H273" s="1">
        <v>2.13219616204691E-2</v>
      </c>
      <c r="I273" s="1">
        <v>6.9721115537848599E-2</v>
      </c>
      <c r="J273" s="1">
        <v>11</v>
      </c>
      <c r="K273" s="1">
        <v>2007</v>
      </c>
      <c r="L273" s="1"/>
      <c r="M273" s="1">
        <v>2.13219616204691E-2</v>
      </c>
      <c r="N273" s="1">
        <v>2.13219616204691E-2</v>
      </c>
      <c r="O273" s="4">
        <f>(N273-N272)/N272</f>
        <v>-0.93397069949790212</v>
      </c>
      <c r="P273" s="2">
        <v>39411</v>
      </c>
      <c r="Q273" s="1">
        <v>42</v>
      </c>
      <c r="R273" s="1"/>
    </row>
    <row r="274" spans="1:18" x14ac:dyDescent="0.2">
      <c r="A274" s="3">
        <v>273</v>
      </c>
      <c r="B274" s="2">
        <v>39419</v>
      </c>
      <c r="C274" s="1">
        <v>9.4226387225919306E-2</v>
      </c>
      <c r="D274" s="1">
        <v>9.1606132686138195E-2</v>
      </c>
      <c r="E274" s="1">
        <v>100.4</v>
      </c>
      <c r="F274" s="1">
        <v>7</v>
      </c>
      <c r="G274" s="1">
        <v>28.427899305555599</v>
      </c>
      <c r="H274" s="1">
        <v>6.9721115537848599E-2</v>
      </c>
      <c r="I274" s="1">
        <v>1.04493207941484E-2</v>
      </c>
      <c r="J274" s="1">
        <v>12</v>
      </c>
      <c r="K274" s="1">
        <v>2007</v>
      </c>
      <c r="L274" s="1"/>
      <c r="M274" s="1">
        <v>6.9721115537848599E-2</v>
      </c>
      <c r="N274" s="1">
        <v>6.9721115537848599E-2</v>
      </c>
      <c r="O274" s="1">
        <f>(N274-N273)/N273</f>
        <v>2.2699203187250969</v>
      </c>
      <c r="P274" s="2">
        <v>39419</v>
      </c>
      <c r="Q274" s="1">
        <v>43</v>
      </c>
      <c r="R274" s="1"/>
    </row>
    <row r="275" spans="1:18" x14ac:dyDescent="0.2">
      <c r="A275" s="3">
        <v>274</v>
      </c>
      <c r="B275" s="2">
        <v>39427</v>
      </c>
      <c r="C275" s="1">
        <v>0.124103227718955</v>
      </c>
      <c r="D275" s="1" t="s">
        <v>0</v>
      </c>
      <c r="E275" s="1">
        <v>191.4</v>
      </c>
      <c r="F275" s="1">
        <v>2</v>
      </c>
      <c r="G275" s="1">
        <v>28.378767361111102</v>
      </c>
      <c r="H275" s="1">
        <v>1.04493207941484E-2</v>
      </c>
      <c r="I275" s="1">
        <v>1.5633142261594599E-2</v>
      </c>
      <c r="J275" s="1">
        <v>12</v>
      </c>
      <c r="K275" s="1">
        <v>2007</v>
      </c>
      <c r="L275" s="1"/>
      <c r="M275" s="1">
        <v>1.04493207941484E-2</v>
      </c>
      <c r="N275" s="1">
        <v>1.04493207941484E-2</v>
      </c>
      <c r="O275" s="1">
        <f>(N275-N274)/N274</f>
        <v>-0.85012688460964292</v>
      </c>
      <c r="P275" s="2">
        <v>39427</v>
      </c>
      <c r="Q275" s="1">
        <v>44</v>
      </c>
      <c r="R275" s="1"/>
    </row>
    <row r="276" spans="1:18" x14ac:dyDescent="0.2">
      <c r="A276" s="3">
        <v>275</v>
      </c>
      <c r="B276" s="2">
        <v>39435</v>
      </c>
      <c r="C276" s="1">
        <v>7.5703652674806193E-2</v>
      </c>
      <c r="D276" s="1">
        <v>6.5862805893023804E-2</v>
      </c>
      <c r="E276" s="1">
        <v>191.9</v>
      </c>
      <c r="F276" s="1">
        <v>3</v>
      </c>
      <c r="G276" s="1">
        <v>28.3991840277778</v>
      </c>
      <c r="H276" s="1">
        <v>1.5633142261594599E-2</v>
      </c>
      <c r="I276" s="1">
        <v>3.3388981636060099E-2</v>
      </c>
      <c r="J276" s="1">
        <v>12</v>
      </c>
      <c r="K276" s="1">
        <v>2007</v>
      </c>
      <c r="L276" s="1"/>
      <c r="M276" s="1">
        <v>1.5633142261594599E-2</v>
      </c>
      <c r="N276" s="1">
        <v>1.5633142261594599E-2</v>
      </c>
      <c r="O276" s="1">
        <f>(N276-N275)/N275</f>
        <v>0.49609171443460037</v>
      </c>
      <c r="P276" s="2">
        <v>39435</v>
      </c>
      <c r="Q276" s="1">
        <v>45</v>
      </c>
      <c r="R276" s="1"/>
    </row>
    <row r="277" spans="1:18" x14ac:dyDescent="0.2">
      <c r="A277" s="3">
        <v>276</v>
      </c>
      <c r="B277" s="2">
        <v>39443</v>
      </c>
      <c r="C277" s="1">
        <v>6.8972245550262698E-2</v>
      </c>
      <c r="D277" s="1">
        <v>5.8989129960536998E-2</v>
      </c>
      <c r="E277" s="1">
        <v>119.8</v>
      </c>
      <c r="F277" s="1">
        <v>4</v>
      </c>
      <c r="G277" s="1">
        <v>28.5796666666667</v>
      </c>
      <c r="H277" s="1">
        <v>3.3388981636060099E-2</v>
      </c>
      <c r="I277" s="1">
        <v>9.375E-2</v>
      </c>
      <c r="J277" s="1">
        <v>12</v>
      </c>
      <c r="K277" s="1">
        <v>2007</v>
      </c>
      <c r="L277" s="1"/>
      <c r="M277" s="1">
        <v>3.3388981636060099E-2</v>
      </c>
      <c r="N277" s="1">
        <v>3.3388981636060099E-2</v>
      </c>
      <c r="O277" s="1">
        <f>(N277-N276)/N276</f>
        <v>1.1357818586533084</v>
      </c>
      <c r="P277" s="2">
        <v>39443</v>
      </c>
      <c r="Q277" s="1">
        <v>46</v>
      </c>
      <c r="R277" s="1"/>
    </row>
    <row r="278" spans="1:18" x14ac:dyDescent="0.2">
      <c r="A278" s="3">
        <v>277</v>
      </c>
      <c r="B278" s="2">
        <v>39448</v>
      </c>
      <c r="C278" s="1">
        <v>6.96297333129412E-2</v>
      </c>
      <c r="D278" s="1">
        <v>5.7839981590708099E-2</v>
      </c>
      <c r="E278" s="1">
        <v>192</v>
      </c>
      <c r="F278" s="1">
        <v>18</v>
      </c>
      <c r="G278" s="1">
        <v>29.05859375</v>
      </c>
      <c r="H278" s="1">
        <v>9.375E-2</v>
      </c>
      <c r="I278" s="1">
        <v>0</v>
      </c>
      <c r="J278" s="1">
        <v>1</v>
      </c>
      <c r="K278" s="1">
        <v>2008</v>
      </c>
      <c r="L278" s="1"/>
      <c r="M278" s="1">
        <v>9.375E-2</v>
      </c>
      <c r="N278" s="1">
        <v>9.375E-2</v>
      </c>
      <c r="O278" s="1">
        <f>(N278-N277)/N277</f>
        <v>1.8078125</v>
      </c>
      <c r="P278" s="2">
        <v>39448</v>
      </c>
      <c r="Q278" s="1">
        <v>1</v>
      </c>
      <c r="R278" s="1"/>
    </row>
    <row r="279" spans="1:18" x14ac:dyDescent="0.2">
      <c r="A279" s="3">
        <v>278</v>
      </c>
      <c r="B279" s="2">
        <v>39456</v>
      </c>
      <c r="C279" s="1">
        <v>7.4904038774720294E-2</v>
      </c>
      <c r="D279" s="1">
        <v>6.3885187730193096E-2</v>
      </c>
      <c r="E279" s="1">
        <v>192</v>
      </c>
      <c r="F279" s="1">
        <v>0</v>
      </c>
      <c r="G279" s="1">
        <v>29.508888888888901</v>
      </c>
      <c r="H279" s="1">
        <v>0</v>
      </c>
      <c r="I279" s="1">
        <v>0</v>
      </c>
      <c r="J279" s="1">
        <v>1</v>
      </c>
      <c r="K279" s="1">
        <v>2008</v>
      </c>
      <c r="L279" s="1"/>
      <c r="M279" s="1">
        <v>1E-3</v>
      </c>
      <c r="N279" s="1">
        <v>1E-3</v>
      </c>
      <c r="O279" s="1">
        <f>(N279-N278)/N278</f>
        <v>-0.98933333333333329</v>
      </c>
      <c r="P279" s="2">
        <v>39456</v>
      </c>
      <c r="Q279" s="1">
        <v>2</v>
      </c>
      <c r="R279" s="1"/>
    </row>
    <row r="280" spans="1:18" x14ac:dyDescent="0.2">
      <c r="A280" s="3">
        <v>279</v>
      </c>
      <c r="B280" s="2">
        <v>39464</v>
      </c>
      <c r="C280" s="1">
        <v>6.2115819343636101E-2</v>
      </c>
      <c r="D280" s="1">
        <v>5.8060673996806103E-2</v>
      </c>
      <c r="E280" s="1">
        <v>166.2</v>
      </c>
      <c r="F280" s="1">
        <v>0</v>
      </c>
      <c r="G280" s="1">
        <v>29.21875</v>
      </c>
      <c r="H280" s="1">
        <v>0</v>
      </c>
      <c r="I280" s="1">
        <v>1.5633142261594599E-2</v>
      </c>
      <c r="J280" s="1">
        <v>1</v>
      </c>
      <c r="K280" s="1">
        <v>2008</v>
      </c>
      <c r="L280" s="1"/>
      <c r="M280" s="1">
        <v>1E-3</v>
      </c>
      <c r="N280" s="1">
        <v>1E-3</v>
      </c>
      <c r="O280" s="1">
        <f>(N280-N279)/N279</f>
        <v>0</v>
      </c>
      <c r="P280" s="2">
        <v>39464</v>
      </c>
      <c r="Q280" s="1">
        <v>3</v>
      </c>
      <c r="R280" s="1"/>
    </row>
    <row r="281" spans="1:18" x14ac:dyDescent="0.2">
      <c r="A281" s="3">
        <v>280</v>
      </c>
      <c r="B281" s="2">
        <v>39472</v>
      </c>
      <c r="C281" s="1" t="s">
        <v>0</v>
      </c>
      <c r="D281" s="1" t="s">
        <v>0</v>
      </c>
      <c r="E281" s="1">
        <v>191.9</v>
      </c>
      <c r="F281" s="1">
        <v>3</v>
      </c>
      <c r="G281" s="1">
        <v>28.801510416666702</v>
      </c>
      <c r="H281" s="1">
        <v>1.5633142261594599E-2</v>
      </c>
      <c r="I281" s="1">
        <v>8.0085424452749604E-2</v>
      </c>
      <c r="J281" s="1">
        <v>1</v>
      </c>
      <c r="K281" s="1">
        <v>2008</v>
      </c>
      <c r="L281" s="1"/>
      <c r="M281" s="1">
        <v>1.5633142261594599E-2</v>
      </c>
      <c r="N281" s="1">
        <v>1.5633142261594599E-2</v>
      </c>
      <c r="O281" s="1">
        <f>(N281-N280)/N280</f>
        <v>14.633142261594598</v>
      </c>
      <c r="P281" s="2">
        <v>39472</v>
      </c>
      <c r="Q281" s="1">
        <v>4</v>
      </c>
      <c r="R281" s="1"/>
    </row>
    <row r="282" spans="1:18" x14ac:dyDescent="0.2">
      <c r="A282" s="3">
        <v>281</v>
      </c>
      <c r="B282" s="2">
        <v>39480</v>
      </c>
      <c r="C282" s="1" t="s">
        <v>0</v>
      </c>
      <c r="D282" s="1" t="s">
        <v>0</v>
      </c>
      <c r="E282" s="1">
        <v>187.3</v>
      </c>
      <c r="F282" s="1">
        <v>15</v>
      </c>
      <c r="G282" s="1">
        <v>28.197309027777798</v>
      </c>
      <c r="H282" s="1">
        <v>8.0085424452749604E-2</v>
      </c>
      <c r="I282" s="1">
        <v>5.2083333333333296E-3</v>
      </c>
      <c r="J282" s="1">
        <v>2</v>
      </c>
      <c r="K282" s="1">
        <v>2008</v>
      </c>
      <c r="L282" s="1"/>
      <c r="M282" s="1">
        <v>8.0085424452749604E-2</v>
      </c>
      <c r="N282" s="1">
        <v>8.0085424452749604E-2</v>
      </c>
      <c r="O282" s="1">
        <f>(N282-N281)/N281</f>
        <v>4.1227976508275441</v>
      </c>
      <c r="P282" s="2">
        <v>39480</v>
      </c>
      <c r="Q282" s="1">
        <v>5</v>
      </c>
      <c r="R282" s="1"/>
    </row>
    <row r="283" spans="1:18" x14ac:dyDescent="0.2">
      <c r="A283" s="3">
        <v>282</v>
      </c>
      <c r="B283" s="2">
        <v>39488</v>
      </c>
      <c r="C283" s="1">
        <v>0.13266785989100699</v>
      </c>
      <c r="D283" s="1">
        <v>0.12664620727300599</v>
      </c>
      <c r="E283" s="1">
        <v>192</v>
      </c>
      <c r="F283" s="1">
        <v>1</v>
      </c>
      <c r="G283" s="1">
        <v>28.047517361111101</v>
      </c>
      <c r="H283" s="1">
        <v>5.2083333333333296E-3</v>
      </c>
      <c r="I283" s="1">
        <v>0.38541666666666702</v>
      </c>
      <c r="J283" s="1">
        <v>2</v>
      </c>
      <c r="K283" s="1">
        <v>2008</v>
      </c>
      <c r="L283" s="1"/>
      <c r="M283" s="1">
        <v>5.2083333333333296E-3</v>
      </c>
      <c r="N283" s="1">
        <v>5.2083333333333296E-3</v>
      </c>
      <c r="O283" s="1">
        <f>(N283-N282)/N282</f>
        <v>-0.93496527777777783</v>
      </c>
      <c r="P283" s="2">
        <v>39488</v>
      </c>
      <c r="Q283" s="1">
        <v>6</v>
      </c>
      <c r="R283" s="1"/>
    </row>
    <row r="284" spans="1:18" x14ac:dyDescent="0.2">
      <c r="A284" s="3">
        <v>283</v>
      </c>
      <c r="B284" s="2">
        <v>39496</v>
      </c>
      <c r="C284" s="1">
        <v>9.9400428319840098E-2</v>
      </c>
      <c r="D284" s="1">
        <v>9.4318340222040803E-2</v>
      </c>
      <c r="E284" s="1">
        <v>192</v>
      </c>
      <c r="F284" s="1">
        <v>74</v>
      </c>
      <c r="G284" s="1">
        <v>28.092795138888899</v>
      </c>
      <c r="H284" s="1">
        <v>0.38541666666666702</v>
      </c>
      <c r="I284" s="1">
        <v>4.6875E-2</v>
      </c>
      <c r="J284" s="1">
        <v>2</v>
      </c>
      <c r="K284" s="1">
        <v>2008</v>
      </c>
      <c r="L284" s="1"/>
      <c r="M284" s="1">
        <v>0.38541666666666702</v>
      </c>
      <c r="N284" s="1">
        <v>0.38541666666666702</v>
      </c>
      <c r="O284" s="1">
        <f>(N284-N283)/N283</f>
        <v>73.000000000000128</v>
      </c>
      <c r="P284" s="2">
        <v>39496</v>
      </c>
      <c r="Q284" s="1">
        <v>7</v>
      </c>
      <c r="R284" s="1"/>
    </row>
    <row r="285" spans="1:18" x14ac:dyDescent="0.2">
      <c r="A285" s="3">
        <v>284</v>
      </c>
      <c r="B285" s="2">
        <v>39504</v>
      </c>
      <c r="C285" s="1">
        <v>0.16556129377821199</v>
      </c>
      <c r="D285" s="1" t="s">
        <v>0</v>
      </c>
      <c r="E285" s="1">
        <v>192</v>
      </c>
      <c r="F285" s="1">
        <v>9</v>
      </c>
      <c r="G285" s="1">
        <v>28.146753472222201</v>
      </c>
      <c r="H285" s="1">
        <v>4.6875E-2</v>
      </c>
      <c r="I285" s="1">
        <v>5.2083333333333296E-3</v>
      </c>
      <c r="J285" s="1">
        <v>2</v>
      </c>
      <c r="K285" s="1">
        <v>2008</v>
      </c>
      <c r="L285" s="1"/>
      <c r="M285" s="1">
        <v>4.6875E-2</v>
      </c>
      <c r="N285" s="1">
        <v>4.6875E-2</v>
      </c>
      <c r="O285" s="1">
        <f>(N285-N284)/N284</f>
        <v>-0.87837837837837851</v>
      </c>
      <c r="P285" s="2">
        <v>39504</v>
      </c>
      <c r="Q285" s="1">
        <v>8</v>
      </c>
      <c r="R285" s="1"/>
    </row>
    <row r="286" spans="1:18" x14ac:dyDescent="0.2">
      <c r="A286" s="3">
        <v>285</v>
      </c>
      <c r="B286" s="2">
        <v>39512</v>
      </c>
      <c r="C286" s="1">
        <v>0.123675479493021</v>
      </c>
      <c r="D286" s="1">
        <v>0.104637453953425</v>
      </c>
      <c r="E286" s="1">
        <v>192</v>
      </c>
      <c r="F286" s="1">
        <v>1</v>
      </c>
      <c r="G286" s="1">
        <v>28.684809027777799</v>
      </c>
      <c r="H286" s="1">
        <v>5.2083333333333296E-3</v>
      </c>
      <c r="I286" s="1">
        <v>0</v>
      </c>
      <c r="J286" s="1">
        <v>3</v>
      </c>
      <c r="K286" s="1">
        <v>2008</v>
      </c>
      <c r="L286" s="1"/>
      <c r="M286" s="1">
        <v>5.2083333333333296E-3</v>
      </c>
      <c r="N286" s="1">
        <v>5.2083333333333296E-3</v>
      </c>
      <c r="O286" s="1">
        <f>(N286-N285)/N285</f>
        <v>-0.88888888888888895</v>
      </c>
      <c r="P286" s="2">
        <v>39512</v>
      </c>
      <c r="Q286" s="1">
        <v>9</v>
      </c>
      <c r="R286" s="1"/>
    </row>
    <row r="287" spans="1:18" x14ac:dyDescent="0.2">
      <c r="A287" s="3">
        <v>286</v>
      </c>
      <c r="B287" s="2">
        <v>39520</v>
      </c>
      <c r="C287" s="1">
        <v>0.117478210892942</v>
      </c>
      <c r="D287" s="1" t="s">
        <v>0</v>
      </c>
      <c r="E287" s="1">
        <v>192</v>
      </c>
      <c r="F287" s="1">
        <v>0</v>
      </c>
      <c r="G287" s="1">
        <v>28.574236111111102</v>
      </c>
      <c r="H287" s="1">
        <v>0</v>
      </c>
      <c r="I287" s="1">
        <v>0</v>
      </c>
      <c r="J287" s="1">
        <v>3</v>
      </c>
      <c r="K287" s="1">
        <v>2008</v>
      </c>
      <c r="L287" s="1"/>
      <c r="M287" s="1">
        <v>1E-3</v>
      </c>
      <c r="N287" s="1">
        <v>1E-3</v>
      </c>
      <c r="O287" s="1">
        <f>(N287-N286)/N286</f>
        <v>-0.80799999999999983</v>
      </c>
      <c r="P287" s="2">
        <v>39520</v>
      </c>
      <c r="Q287" s="1">
        <v>10</v>
      </c>
      <c r="R287" s="1"/>
    </row>
    <row r="288" spans="1:18" x14ac:dyDescent="0.2">
      <c r="A288" s="3">
        <v>287</v>
      </c>
      <c r="B288" s="2">
        <v>39528</v>
      </c>
      <c r="C288" s="1">
        <v>0.11315186098218</v>
      </c>
      <c r="D288" s="1" t="s">
        <v>0</v>
      </c>
      <c r="E288" s="1">
        <v>192</v>
      </c>
      <c r="F288" s="1">
        <v>0</v>
      </c>
      <c r="G288" s="1">
        <v>28.7419965277778</v>
      </c>
      <c r="H288" s="1">
        <v>0</v>
      </c>
      <c r="I288" s="1">
        <v>1.5625E-2</v>
      </c>
      <c r="J288" s="1">
        <v>3</v>
      </c>
      <c r="K288" s="1">
        <v>2008</v>
      </c>
      <c r="L288" s="1"/>
      <c r="M288" s="1">
        <v>1E-3</v>
      </c>
      <c r="N288" s="1">
        <v>1E-3</v>
      </c>
      <c r="O288" s="1">
        <f>(N288-N287)/N287</f>
        <v>0</v>
      </c>
      <c r="P288" s="2">
        <v>39528</v>
      </c>
      <c r="Q288" s="1">
        <v>11</v>
      </c>
      <c r="R288" s="1"/>
    </row>
    <row r="289" spans="1:18" x14ac:dyDescent="0.2">
      <c r="A289" s="3">
        <v>288</v>
      </c>
      <c r="B289" s="2">
        <v>39536</v>
      </c>
      <c r="C289" s="1">
        <v>0.121203221501948</v>
      </c>
      <c r="D289" s="1">
        <v>0.110022244354089</v>
      </c>
      <c r="E289" s="1">
        <v>192</v>
      </c>
      <c r="F289" s="1">
        <v>3</v>
      </c>
      <c r="G289" s="1">
        <v>28.894513888888898</v>
      </c>
      <c r="H289" s="1">
        <v>1.5625E-2</v>
      </c>
      <c r="I289" s="1">
        <v>5.2083333333333296E-3</v>
      </c>
      <c r="J289" s="1">
        <v>3</v>
      </c>
      <c r="K289" s="1">
        <v>2008</v>
      </c>
      <c r="L289" s="1"/>
      <c r="M289" s="1">
        <v>1.5625E-2</v>
      </c>
      <c r="N289" s="1">
        <v>1.5625E-2</v>
      </c>
      <c r="O289" s="1">
        <f>(N289-N288)/N288</f>
        <v>14.624999999999998</v>
      </c>
      <c r="P289" s="2">
        <v>39536</v>
      </c>
      <c r="Q289" s="1">
        <v>12</v>
      </c>
      <c r="R289" s="1"/>
    </row>
    <row r="290" spans="1:18" x14ac:dyDescent="0.2">
      <c r="A290" s="3">
        <v>289</v>
      </c>
      <c r="B290" s="2">
        <v>39544</v>
      </c>
      <c r="C290" s="1">
        <v>0.138247187643603</v>
      </c>
      <c r="D290" s="1">
        <v>0.117996873954932</v>
      </c>
      <c r="E290" s="1">
        <v>192</v>
      </c>
      <c r="F290" s="1">
        <v>1</v>
      </c>
      <c r="G290" s="1">
        <v>28.7290451388889</v>
      </c>
      <c r="H290" s="1">
        <v>5.2083333333333296E-3</v>
      </c>
      <c r="I290" s="1">
        <v>2.0844189682126101E-2</v>
      </c>
      <c r="J290" s="1">
        <v>4</v>
      </c>
      <c r="K290" s="1">
        <v>2008</v>
      </c>
      <c r="L290" s="1"/>
      <c r="M290" s="1">
        <v>5.2083333333333296E-3</v>
      </c>
      <c r="N290" s="1">
        <v>5.2083333333333296E-3</v>
      </c>
      <c r="O290" s="1">
        <f>(N290-N289)/N289</f>
        <v>-0.66666666666666696</v>
      </c>
      <c r="P290" s="2">
        <v>39544</v>
      </c>
      <c r="Q290" s="1">
        <v>13</v>
      </c>
      <c r="R290" s="1"/>
    </row>
    <row r="291" spans="1:18" x14ac:dyDescent="0.2">
      <c r="A291" s="3">
        <v>290</v>
      </c>
      <c r="B291" s="2">
        <v>39552</v>
      </c>
      <c r="C291" s="1">
        <v>0.139000056895631</v>
      </c>
      <c r="D291" s="1">
        <v>0.13277300074696499</v>
      </c>
      <c r="E291" s="1">
        <v>191.9</v>
      </c>
      <c r="F291" s="1">
        <v>4</v>
      </c>
      <c r="G291" s="1">
        <v>28.599444444444401</v>
      </c>
      <c r="H291" s="1">
        <v>2.0844189682126101E-2</v>
      </c>
      <c r="I291" s="1">
        <v>4.1666666666666699E-2</v>
      </c>
      <c r="J291" s="1">
        <v>4</v>
      </c>
      <c r="K291" s="1">
        <v>2008</v>
      </c>
      <c r="L291" s="1"/>
      <c r="M291" s="1">
        <v>2.0844189682126101E-2</v>
      </c>
      <c r="N291" s="1">
        <v>2.0844189682126101E-2</v>
      </c>
      <c r="O291" s="1">
        <f>(N291-N290)/N290</f>
        <v>3.0020844189682143</v>
      </c>
      <c r="P291" s="2">
        <v>39552</v>
      </c>
      <c r="Q291" s="1">
        <v>14</v>
      </c>
      <c r="R291" s="1"/>
    </row>
    <row r="292" spans="1:18" x14ac:dyDescent="0.2">
      <c r="A292" s="3">
        <v>291</v>
      </c>
      <c r="B292" s="2">
        <v>39560</v>
      </c>
      <c r="C292" s="1">
        <v>0.136142473645817</v>
      </c>
      <c r="D292" s="1">
        <v>0.124271683394909</v>
      </c>
      <c r="E292" s="1">
        <v>192</v>
      </c>
      <c r="F292" s="1">
        <v>8</v>
      </c>
      <c r="G292" s="1">
        <v>28.434166666666702</v>
      </c>
      <c r="H292" s="1">
        <v>4.1666666666666699E-2</v>
      </c>
      <c r="I292" s="1">
        <v>0.28125</v>
      </c>
      <c r="J292" s="1">
        <v>4</v>
      </c>
      <c r="K292" s="1">
        <v>2008</v>
      </c>
      <c r="L292" s="1"/>
      <c r="M292" s="1">
        <v>4.1666666666666699E-2</v>
      </c>
      <c r="N292" s="1">
        <v>4.1666666666666699E-2</v>
      </c>
      <c r="O292" s="1">
        <f>(N292-N291)/N291</f>
        <v>0.9989583333333355</v>
      </c>
      <c r="P292" s="2">
        <v>39560</v>
      </c>
      <c r="Q292" s="1">
        <v>15</v>
      </c>
      <c r="R292" s="1"/>
    </row>
    <row r="293" spans="1:18" x14ac:dyDescent="0.2">
      <c r="A293" s="3">
        <v>292</v>
      </c>
      <c r="B293" s="2">
        <v>39568</v>
      </c>
      <c r="C293" s="1">
        <v>0.137606034352935</v>
      </c>
      <c r="D293" s="1">
        <v>0.13190997391939199</v>
      </c>
      <c r="E293" s="1">
        <v>192</v>
      </c>
      <c r="F293" s="1">
        <v>54</v>
      </c>
      <c r="G293" s="1">
        <v>28.476354166666699</v>
      </c>
      <c r="H293" s="1">
        <v>0.28125</v>
      </c>
      <c r="I293" s="1">
        <v>7.8125E-2</v>
      </c>
      <c r="J293" s="1">
        <v>4</v>
      </c>
      <c r="K293" s="1">
        <v>2008</v>
      </c>
      <c r="L293" s="1"/>
      <c r="M293" s="1">
        <v>0.28125</v>
      </c>
      <c r="N293" s="1">
        <v>0.28125</v>
      </c>
      <c r="O293" s="1">
        <f>(N293-N292)/N292</f>
        <v>5.7499999999999947</v>
      </c>
      <c r="P293" s="2">
        <v>39568</v>
      </c>
      <c r="Q293" s="1">
        <v>16</v>
      </c>
      <c r="R293" s="1"/>
    </row>
    <row r="294" spans="1:18" x14ac:dyDescent="0.2">
      <c r="A294" s="3">
        <v>293</v>
      </c>
      <c r="B294" s="2">
        <v>39576</v>
      </c>
      <c r="C294" s="1">
        <v>0.167149585467286</v>
      </c>
      <c r="D294" s="1">
        <v>0.15323786934216799</v>
      </c>
      <c r="E294" s="1">
        <v>192</v>
      </c>
      <c r="F294" s="1">
        <v>15</v>
      </c>
      <c r="G294" s="1">
        <v>28.05859375</v>
      </c>
      <c r="H294" s="1">
        <v>7.8125E-2</v>
      </c>
      <c r="I294" s="1">
        <v>1.0416666666666701E-2</v>
      </c>
      <c r="J294" s="1">
        <v>5</v>
      </c>
      <c r="K294" s="1">
        <v>2008</v>
      </c>
      <c r="L294" s="1"/>
      <c r="M294" s="1">
        <v>7.8125E-2</v>
      </c>
      <c r="N294" s="1">
        <v>7.8125E-2</v>
      </c>
      <c r="O294" s="1">
        <f>(N294-N293)/N293</f>
        <v>-0.72222222222222221</v>
      </c>
      <c r="P294" s="2">
        <v>39576</v>
      </c>
      <c r="Q294" s="1">
        <v>17</v>
      </c>
      <c r="R294" s="1"/>
    </row>
    <row r="295" spans="1:18" x14ac:dyDescent="0.2">
      <c r="A295" s="3">
        <v>294</v>
      </c>
      <c r="B295" s="2">
        <v>39584</v>
      </c>
      <c r="C295" s="1">
        <v>0.157102873251283</v>
      </c>
      <c r="D295" s="1">
        <v>0.14447641124328001</v>
      </c>
      <c r="E295" s="1">
        <v>192</v>
      </c>
      <c r="F295" s="1">
        <v>2</v>
      </c>
      <c r="G295" s="1">
        <v>28.0035069444444</v>
      </c>
      <c r="H295" s="1">
        <v>1.0416666666666701E-2</v>
      </c>
      <c r="I295" s="1">
        <v>0.104166666666667</v>
      </c>
      <c r="J295" s="1">
        <v>5</v>
      </c>
      <c r="K295" s="1">
        <v>2008</v>
      </c>
      <c r="L295" s="1"/>
      <c r="M295" s="1">
        <v>1.0416666666666701E-2</v>
      </c>
      <c r="N295" s="1">
        <v>1.0416666666666701E-2</v>
      </c>
      <c r="O295" s="1">
        <f>(N295-N294)/N294</f>
        <v>-0.86666666666666625</v>
      </c>
      <c r="P295" s="2">
        <v>39584</v>
      </c>
      <c r="Q295" s="1">
        <v>18</v>
      </c>
      <c r="R295" s="1"/>
    </row>
    <row r="296" spans="1:18" x14ac:dyDescent="0.2">
      <c r="A296" s="3">
        <v>295</v>
      </c>
      <c r="B296" s="2">
        <v>39592</v>
      </c>
      <c r="C296" s="1">
        <v>0.133798366569611</v>
      </c>
      <c r="D296" s="1">
        <v>0.120258851597706</v>
      </c>
      <c r="E296" s="1">
        <v>192</v>
      </c>
      <c r="F296" s="1">
        <v>20</v>
      </c>
      <c r="G296" s="1">
        <v>28.104114583333299</v>
      </c>
      <c r="H296" s="1">
        <v>0.104166666666667</v>
      </c>
      <c r="I296" s="1">
        <v>0.56770833333333304</v>
      </c>
      <c r="J296" s="1">
        <v>5</v>
      </c>
      <c r="K296" s="1">
        <v>2008</v>
      </c>
      <c r="L296" s="1"/>
      <c r="M296" s="1">
        <v>0.104166666666667</v>
      </c>
      <c r="N296" s="1">
        <v>0.104166666666667</v>
      </c>
      <c r="O296" s="1">
        <f>(N296-N295)/N295</f>
        <v>9</v>
      </c>
      <c r="P296" s="2">
        <v>39592</v>
      </c>
      <c r="Q296" s="1">
        <v>19</v>
      </c>
      <c r="R296" s="1"/>
    </row>
    <row r="297" spans="1:18" x14ac:dyDescent="0.2">
      <c r="A297" s="3">
        <v>296</v>
      </c>
      <c r="B297" s="2">
        <v>39600</v>
      </c>
      <c r="C297" s="1">
        <v>0.13704856112599401</v>
      </c>
      <c r="D297" s="1">
        <v>0.122482696175575</v>
      </c>
      <c r="E297" s="1">
        <v>192</v>
      </c>
      <c r="F297" s="1">
        <v>109</v>
      </c>
      <c r="G297" s="1">
        <v>28.035833333333301</v>
      </c>
      <c r="H297" s="1">
        <v>0.56770833333333304</v>
      </c>
      <c r="I297" s="1">
        <v>0.28645833333333298</v>
      </c>
      <c r="J297" s="1">
        <v>6</v>
      </c>
      <c r="K297" s="1">
        <v>2008</v>
      </c>
      <c r="L297" s="1"/>
      <c r="M297" s="1">
        <v>0.56770833333333304</v>
      </c>
      <c r="N297" s="1">
        <v>0.56770833333333304</v>
      </c>
      <c r="O297" s="1">
        <f>(N297-N296)/N296</f>
        <v>4.4499999999999797</v>
      </c>
      <c r="P297" s="2">
        <v>39600</v>
      </c>
      <c r="Q297" s="1">
        <v>20</v>
      </c>
      <c r="R297" s="1"/>
    </row>
    <row r="298" spans="1:18" x14ac:dyDescent="0.2">
      <c r="A298" s="3">
        <v>297</v>
      </c>
      <c r="B298" s="2">
        <v>39608</v>
      </c>
      <c r="C298" s="1">
        <v>0.14546031193161499</v>
      </c>
      <c r="D298" s="1">
        <v>0.13567784676949199</v>
      </c>
      <c r="E298" s="1">
        <v>192</v>
      </c>
      <c r="F298" s="1">
        <v>55</v>
      </c>
      <c r="G298" s="1">
        <v>27.874930555555601</v>
      </c>
      <c r="H298" s="1">
        <v>0.28645833333333298</v>
      </c>
      <c r="I298" s="1">
        <v>5.2083333333333301E-2</v>
      </c>
      <c r="J298" s="1">
        <v>6</v>
      </c>
      <c r="K298" s="1">
        <v>2008</v>
      </c>
      <c r="L298" s="1"/>
      <c r="M298" s="1">
        <v>0.28645833333333298</v>
      </c>
      <c r="N298" s="1">
        <v>0.28645833333333298</v>
      </c>
      <c r="O298" s="1">
        <f>(N298-N297)/N297</f>
        <v>-0.49541284403669761</v>
      </c>
      <c r="P298" s="2">
        <v>39608</v>
      </c>
      <c r="Q298" s="1">
        <v>21</v>
      </c>
      <c r="R298" s="1"/>
    </row>
    <row r="299" spans="1:18" x14ac:dyDescent="0.2">
      <c r="A299" s="3">
        <v>298</v>
      </c>
      <c r="B299" s="2">
        <v>39616</v>
      </c>
      <c r="C299" s="1">
        <v>0.134651668590201</v>
      </c>
      <c r="D299" s="1">
        <v>0.13178278878331201</v>
      </c>
      <c r="E299" s="1">
        <v>192</v>
      </c>
      <c r="F299" s="1">
        <v>10</v>
      </c>
      <c r="G299" s="1">
        <v>27.8635243055556</v>
      </c>
      <c r="H299" s="1">
        <v>5.2083333333333301E-2</v>
      </c>
      <c r="I299" s="1">
        <v>0.18463371054198899</v>
      </c>
      <c r="J299" s="1">
        <v>6</v>
      </c>
      <c r="K299" s="1">
        <v>2008</v>
      </c>
      <c r="L299" s="1"/>
      <c r="M299" s="1">
        <v>5.2083333333333301E-2</v>
      </c>
      <c r="N299" s="1">
        <v>5.2083333333333301E-2</v>
      </c>
      <c r="O299" s="1">
        <f>(N299-N298)/N298</f>
        <v>-0.81818181818181801</v>
      </c>
      <c r="P299" s="2">
        <v>39616</v>
      </c>
      <c r="Q299" s="1">
        <v>22</v>
      </c>
      <c r="R299" s="1"/>
    </row>
    <row r="300" spans="1:18" x14ac:dyDescent="0.2">
      <c r="A300" s="3">
        <v>299</v>
      </c>
      <c r="B300" s="2">
        <v>39624</v>
      </c>
      <c r="C300" s="1">
        <v>0.146355047941399</v>
      </c>
      <c r="D300" s="1">
        <v>0.14672741542259901</v>
      </c>
      <c r="E300" s="1">
        <v>167.9</v>
      </c>
      <c r="F300" s="1">
        <v>31</v>
      </c>
      <c r="G300" s="1">
        <v>27.951805555555602</v>
      </c>
      <c r="H300" s="1">
        <v>0.18463371054198899</v>
      </c>
      <c r="I300" s="1">
        <v>0.34895833333333298</v>
      </c>
      <c r="J300" s="1">
        <v>6</v>
      </c>
      <c r="K300" s="1">
        <v>2008</v>
      </c>
      <c r="L300" s="1"/>
      <c r="M300" s="1">
        <v>0.18463371054198899</v>
      </c>
      <c r="N300" s="1">
        <v>0.18463371054198899</v>
      </c>
      <c r="O300" s="1">
        <f>(N300-N299)/N299</f>
        <v>2.5449672424061909</v>
      </c>
      <c r="P300" s="2">
        <v>39624</v>
      </c>
      <c r="Q300" s="1">
        <v>23</v>
      </c>
      <c r="R300" s="1"/>
    </row>
    <row r="301" spans="1:18" x14ac:dyDescent="0.2">
      <c r="A301" s="3">
        <v>300</v>
      </c>
      <c r="B301" s="2">
        <v>39632</v>
      </c>
      <c r="C301" s="1">
        <v>0.14584096960191201</v>
      </c>
      <c r="D301" s="1">
        <v>0.14332306087017099</v>
      </c>
      <c r="E301" s="1">
        <v>192</v>
      </c>
      <c r="F301" s="1">
        <v>67</v>
      </c>
      <c r="G301" s="1">
        <v>27.676597222222199</v>
      </c>
      <c r="H301" s="1">
        <v>0.34895833333333298</v>
      </c>
      <c r="I301" s="1">
        <v>0.234375</v>
      </c>
      <c r="J301" s="1">
        <v>7</v>
      </c>
      <c r="K301" s="1">
        <v>2008</v>
      </c>
      <c r="L301" s="1"/>
      <c r="M301" s="1">
        <v>0.34895833333333298</v>
      </c>
      <c r="N301" s="1">
        <v>0.34895833333333298</v>
      </c>
      <c r="O301" s="1">
        <f>(N301-N300)/N300</f>
        <v>0.89000336021505488</v>
      </c>
      <c r="P301" s="2">
        <v>39632</v>
      </c>
      <c r="Q301" s="1">
        <v>24</v>
      </c>
      <c r="R301" s="1"/>
    </row>
    <row r="302" spans="1:18" x14ac:dyDescent="0.2">
      <c r="A302" s="3">
        <v>301</v>
      </c>
      <c r="B302" s="2">
        <v>39640</v>
      </c>
      <c r="C302" s="1">
        <v>0.15073757857279099</v>
      </c>
      <c r="D302" s="1">
        <v>0.14335968047380401</v>
      </c>
      <c r="E302" s="1">
        <v>192</v>
      </c>
      <c r="F302" s="1">
        <v>45</v>
      </c>
      <c r="G302" s="1">
        <v>27.694236111111099</v>
      </c>
      <c r="H302" s="1">
        <v>0.234375</v>
      </c>
      <c r="I302" s="1">
        <v>0.111188325225851</v>
      </c>
      <c r="J302" s="1">
        <v>7</v>
      </c>
      <c r="K302" s="1">
        <v>2008</v>
      </c>
      <c r="L302" s="1"/>
      <c r="M302" s="1">
        <v>0.234375</v>
      </c>
      <c r="N302" s="1">
        <v>0.234375</v>
      </c>
      <c r="O302" s="1">
        <f>(N302-N301)/N301</f>
        <v>-0.32835820895522322</v>
      </c>
      <c r="P302" s="2">
        <v>39640</v>
      </c>
      <c r="Q302" s="1">
        <v>25</v>
      </c>
      <c r="R302" s="1"/>
    </row>
    <row r="303" spans="1:18" x14ac:dyDescent="0.2">
      <c r="A303" s="3">
        <v>302</v>
      </c>
      <c r="B303" s="2">
        <v>39648</v>
      </c>
      <c r="C303" s="1">
        <v>0.12115334123373001</v>
      </c>
      <c r="D303" s="1">
        <v>0.12559556464354199</v>
      </c>
      <c r="E303" s="1">
        <v>143.9</v>
      </c>
      <c r="F303" s="1">
        <v>16</v>
      </c>
      <c r="G303" s="1">
        <v>27.878298611111099</v>
      </c>
      <c r="H303" s="1">
        <v>0.111188325225851</v>
      </c>
      <c r="I303" s="1">
        <v>0.59895833333333304</v>
      </c>
      <c r="J303" s="1">
        <v>7</v>
      </c>
      <c r="K303" s="1">
        <v>2008</v>
      </c>
      <c r="L303" s="1"/>
      <c r="M303" s="1">
        <v>0.111188325225851</v>
      </c>
      <c r="N303" s="1">
        <v>0.111188325225851</v>
      </c>
      <c r="O303" s="1">
        <f>(N303-N302)/N302</f>
        <v>-0.52559647903636908</v>
      </c>
      <c r="P303" s="2">
        <v>39648</v>
      </c>
      <c r="Q303" s="1">
        <v>26</v>
      </c>
      <c r="R303" s="1"/>
    </row>
    <row r="304" spans="1:18" x14ac:dyDescent="0.2">
      <c r="A304" s="3">
        <v>303</v>
      </c>
      <c r="B304" s="2">
        <v>39656</v>
      </c>
      <c r="C304" s="1">
        <v>0.14913991612847899</v>
      </c>
      <c r="D304" s="1">
        <v>0.15316451961795499</v>
      </c>
      <c r="E304" s="1">
        <v>192</v>
      </c>
      <c r="F304" s="1">
        <v>115</v>
      </c>
      <c r="G304" s="1">
        <v>27.4936111111111</v>
      </c>
      <c r="H304" s="1">
        <v>0.59895833333333304</v>
      </c>
      <c r="I304" s="1">
        <v>0.75</v>
      </c>
      <c r="J304" s="1">
        <v>7</v>
      </c>
      <c r="K304" s="1">
        <v>2008</v>
      </c>
      <c r="L304" s="1"/>
      <c r="M304" s="1">
        <v>0.59895833333333304</v>
      </c>
      <c r="N304" s="1">
        <v>0.59895833333333304</v>
      </c>
      <c r="O304" s="1">
        <f>(N304-N303)/N303</f>
        <v>4.3868815104166785</v>
      </c>
      <c r="P304" s="2">
        <v>39656</v>
      </c>
      <c r="Q304" s="1">
        <v>27</v>
      </c>
      <c r="R304" s="1"/>
    </row>
    <row r="305" spans="1:18" x14ac:dyDescent="0.2">
      <c r="A305" s="3">
        <v>304</v>
      </c>
      <c r="B305" s="2">
        <v>39664</v>
      </c>
      <c r="C305" s="1">
        <v>0.15478831864673001</v>
      </c>
      <c r="D305" s="1">
        <v>0.139440022408962</v>
      </c>
      <c r="E305" s="1">
        <v>192</v>
      </c>
      <c r="F305" s="1">
        <v>144</v>
      </c>
      <c r="G305" s="1">
        <v>27.678506944444401</v>
      </c>
      <c r="H305" s="1">
        <v>0.75</v>
      </c>
      <c r="I305" s="1">
        <v>0.38541666666666702</v>
      </c>
      <c r="J305" s="1">
        <v>8</v>
      </c>
      <c r="K305" s="1">
        <v>2008</v>
      </c>
      <c r="L305" s="1"/>
      <c r="M305" s="1">
        <v>0.75</v>
      </c>
      <c r="N305" s="1">
        <v>0.75</v>
      </c>
      <c r="O305" s="1">
        <f>(N305-N304)/N304</f>
        <v>0.25217391304347886</v>
      </c>
      <c r="P305" s="2">
        <v>39664</v>
      </c>
      <c r="Q305" s="1">
        <v>28</v>
      </c>
      <c r="R305" s="1"/>
    </row>
    <row r="306" spans="1:18" x14ac:dyDescent="0.2">
      <c r="A306" s="3">
        <v>305</v>
      </c>
      <c r="B306" s="2">
        <v>39672</v>
      </c>
      <c r="C306" s="1">
        <v>0.11928902393473</v>
      </c>
      <c r="D306" s="1">
        <v>0.114521648734808</v>
      </c>
      <c r="E306" s="1">
        <v>192</v>
      </c>
      <c r="F306" s="1">
        <v>74</v>
      </c>
      <c r="G306" s="1">
        <v>28.031770833333301</v>
      </c>
      <c r="H306" s="1">
        <v>0.38541666666666702</v>
      </c>
      <c r="I306" s="1">
        <v>0.34375</v>
      </c>
      <c r="J306" s="1">
        <v>8</v>
      </c>
      <c r="K306" s="1">
        <v>2008</v>
      </c>
      <c r="L306" s="1"/>
      <c r="M306" s="1">
        <v>0.38541666666666702</v>
      </c>
      <c r="N306" s="1">
        <v>0.38541666666666702</v>
      </c>
      <c r="O306" s="1">
        <f>(N306-N305)/N305</f>
        <v>-0.48611111111111066</v>
      </c>
      <c r="P306" s="2">
        <v>39672</v>
      </c>
      <c r="Q306" s="1">
        <v>29</v>
      </c>
      <c r="R306" s="1"/>
    </row>
    <row r="307" spans="1:18" x14ac:dyDescent="0.2">
      <c r="A307" s="3">
        <v>306</v>
      </c>
      <c r="B307" s="2">
        <v>39680</v>
      </c>
      <c r="C307" s="1">
        <v>0.111285919907378</v>
      </c>
      <c r="D307" s="1">
        <v>9.6496086567640305E-2</v>
      </c>
      <c r="E307" s="1">
        <v>192</v>
      </c>
      <c r="F307" s="1">
        <v>66</v>
      </c>
      <c r="G307" s="1">
        <v>27.717239583333299</v>
      </c>
      <c r="H307" s="1">
        <v>0.34375</v>
      </c>
      <c r="I307" s="1">
        <v>0.11166253101737</v>
      </c>
      <c r="J307" s="1">
        <v>8</v>
      </c>
      <c r="K307" s="1">
        <v>2008</v>
      </c>
      <c r="L307" s="1"/>
      <c r="M307" s="1">
        <v>0.34375</v>
      </c>
      <c r="N307" s="1">
        <v>0.34375</v>
      </c>
      <c r="O307" s="1">
        <f>(N307-N306)/N306</f>
        <v>-0.10810810810810892</v>
      </c>
      <c r="P307" s="2">
        <v>39680</v>
      </c>
      <c r="Q307" s="1">
        <v>30</v>
      </c>
      <c r="R307" s="1"/>
    </row>
    <row r="308" spans="1:18" x14ac:dyDescent="0.2">
      <c r="A308" s="3">
        <v>307</v>
      </c>
      <c r="B308" s="2">
        <v>39688</v>
      </c>
      <c r="C308" s="1">
        <v>0.12350625232486701</v>
      </c>
      <c r="D308" s="1">
        <v>0.109786485632261</v>
      </c>
      <c r="E308" s="1">
        <v>161.19999999999999</v>
      </c>
      <c r="F308" s="1">
        <v>18</v>
      </c>
      <c r="G308" s="1">
        <v>27.6745138888889</v>
      </c>
      <c r="H308" s="1">
        <v>0.11166253101737</v>
      </c>
      <c r="I308" s="1">
        <v>0.15112037519541399</v>
      </c>
      <c r="J308" s="1">
        <v>8</v>
      </c>
      <c r="K308" s="1">
        <v>2008</v>
      </c>
      <c r="L308" s="1"/>
      <c r="M308" s="1">
        <v>0.11166253101737</v>
      </c>
      <c r="N308" s="1">
        <v>0.11166253101737</v>
      </c>
      <c r="O308" s="1">
        <f>(N308-N307)/N307</f>
        <v>-0.67516354613128726</v>
      </c>
      <c r="P308" s="2">
        <v>39688</v>
      </c>
      <c r="Q308" s="1">
        <v>31</v>
      </c>
      <c r="R308" s="1"/>
    </row>
    <row r="309" spans="1:18" x14ac:dyDescent="0.2">
      <c r="A309" s="3">
        <v>308</v>
      </c>
      <c r="B309" s="2">
        <v>39696</v>
      </c>
      <c r="C309" s="1">
        <v>0.116813391535765</v>
      </c>
      <c r="D309" s="1">
        <v>0.109662933895985</v>
      </c>
      <c r="E309" s="1">
        <v>191.9</v>
      </c>
      <c r="F309" s="1">
        <v>29</v>
      </c>
      <c r="G309" s="1">
        <v>27.789739583333301</v>
      </c>
      <c r="H309" s="1">
        <v>0.15112037519541399</v>
      </c>
      <c r="I309" s="1">
        <v>0.46354166666666702</v>
      </c>
      <c r="J309" s="1">
        <v>9</v>
      </c>
      <c r="K309" s="1">
        <v>2008</v>
      </c>
      <c r="L309" s="1"/>
      <c r="M309" s="1">
        <v>0.15112037519541399</v>
      </c>
      <c r="N309" s="1">
        <v>0.15112037519541399</v>
      </c>
      <c r="O309" s="1">
        <f>(N309-N308)/N308</f>
        <v>0.35336691563892642</v>
      </c>
      <c r="P309" s="2">
        <v>39696</v>
      </c>
      <c r="Q309" s="1">
        <v>32</v>
      </c>
      <c r="R309" s="1"/>
    </row>
    <row r="310" spans="1:18" x14ac:dyDescent="0.2">
      <c r="A310" s="3">
        <v>309</v>
      </c>
      <c r="B310" s="2">
        <v>39704</v>
      </c>
      <c r="C310" s="1">
        <v>0.108824436536092</v>
      </c>
      <c r="D310" s="1">
        <v>0.109518432368835</v>
      </c>
      <c r="E310" s="1">
        <v>192</v>
      </c>
      <c r="F310" s="1">
        <v>89</v>
      </c>
      <c r="G310" s="1">
        <v>28.000677083333301</v>
      </c>
      <c r="H310" s="1">
        <v>0.46354166666666702</v>
      </c>
      <c r="I310" s="1">
        <v>0.33333333333333298</v>
      </c>
      <c r="J310" s="1">
        <v>9</v>
      </c>
      <c r="K310" s="1">
        <v>2008</v>
      </c>
      <c r="L310" s="1"/>
      <c r="M310" s="1">
        <v>0.46354166666666702</v>
      </c>
      <c r="N310" s="1">
        <v>0.46354166666666702</v>
      </c>
      <c r="O310" s="1">
        <f>(N310-N309)/N309</f>
        <v>2.0673670977011578</v>
      </c>
      <c r="P310" s="2">
        <v>39704</v>
      </c>
      <c r="Q310" s="1">
        <v>33</v>
      </c>
      <c r="R310" s="1"/>
    </row>
    <row r="311" spans="1:18" x14ac:dyDescent="0.2">
      <c r="A311" s="3">
        <v>310</v>
      </c>
      <c r="B311" s="2">
        <v>39712</v>
      </c>
      <c r="C311" s="1">
        <v>0.149833703803462</v>
      </c>
      <c r="D311" s="1">
        <v>0.140680039922396</v>
      </c>
      <c r="E311" s="1">
        <v>192</v>
      </c>
      <c r="F311" s="1">
        <v>64</v>
      </c>
      <c r="G311" s="1">
        <v>27.9146180555556</v>
      </c>
      <c r="H311" s="1">
        <v>0.33333333333333298</v>
      </c>
      <c r="I311" s="1">
        <v>0.265625</v>
      </c>
      <c r="J311" s="1">
        <v>9</v>
      </c>
      <c r="K311" s="1">
        <v>2008</v>
      </c>
      <c r="L311" s="1"/>
      <c r="M311" s="1">
        <v>0.33333333333333298</v>
      </c>
      <c r="N311" s="1">
        <v>0.33333333333333298</v>
      </c>
      <c r="O311" s="1">
        <f>(N311-N310)/N310</f>
        <v>-0.28089887640449568</v>
      </c>
      <c r="P311" s="2">
        <v>39712</v>
      </c>
      <c r="Q311" s="1">
        <v>34</v>
      </c>
      <c r="R311" s="1"/>
    </row>
    <row r="312" spans="1:18" x14ac:dyDescent="0.2">
      <c r="A312" s="3">
        <v>311</v>
      </c>
      <c r="B312" s="2">
        <v>39720</v>
      </c>
      <c r="C312" s="1">
        <v>0.13764402779805299</v>
      </c>
      <c r="D312" s="1">
        <v>0.11970801278948801</v>
      </c>
      <c r="E312" s="1">
        <v>192</v>
      </c>
      <c r="F312" s="1">
        <v>51</v>
      </c>
      <c r="G312" s="1">
        <v>28.193472222222201</v>
      </c>
      <c r="H312" s="1">
        <v>0.265625</v>
      </c>
      <c r="I312" s="1">
        <v>1.0416666666666701E-2</v>
      </c>
      <c r="J312" s="1">
        <v>9</v>
      </c>
      <c r="K312" s="1">
        <v>2008</v>
      </c>
      <c r="L312" s="1"/>
      <c r="M312" s="1">
        <v>0.265625</v>
      </c>
      <c r="N312" s="1">
        <v>0.265625</v>
      </c>
      <c r="O312" s="1">
        <f>(N312-N311)/N311</f>
        <v>-0.20312499999999917</v>
      </c>
      <c r="P312" s="2">
        <v>39720</v>
      </c>
      <c r="Q312" s="1">
        <v>35</v>
      </c>
      <c r="R312" s="1"/>
    </row>
    <row r="313" spans="1:18" x14ac:dyDescent="0.2">
      <c r="A313" s="3">
        <v>312</v>
      </c>
      <c r="B313" s="2">
        <v>39728</v>
      </c>
      <c r="C313" s="1">
        <v>0.107377191812436</v>
      </c>
      <c r="D313" s="1">
        <v>0.115929748862982</v>
      </c>
      <c r="E313" s="1">
        <v>192</v>
      </c>
      <c r="F313" s="1">
        <v>2</v>
      </c>
      <c r="G313" s="1">
        <v>28.134340277777799</v>
      </c>
      <c r="H313" s="1">
        <v>1.0416666666666701E-2</v>
      </c>
      <c r="I313" s="1">
        <v>2.6041666666666699E-2</v>
      </c>
      <c r="J313" s="1">
        <v>10</v>
      </c>
      <c r="K313" s="1">
        <v>2008</v>
      </c>
      <c r="L313" s="1"/>
      <c r="M313" s="1">
        <v>1.0416666666666701E-2</v>
      </c>
      <c r="N313" s="1">
        <v>1.0416666666666701E-2</v>
      </c>
      <c r="O313" s="1">
        <f>(N313-N312)/N312</f>
        <v>-0.96078431372549011</v>
      </c>
      <c r="P313" s="2">
        <v>39728</v>
      </c>
      <c r="Q313" s="1">
        <v>36</v>
      </c>
      <c r="R313" s="1"/>
    </row>
    <row r="314" spans="1:18" x14ac:dyDescent="0.2">
      <c r="A314" s="3">
        <v>313</v>
      </c>
      <c r="B314" s="2">
        <v>39736</v>
      </c>
      <c r="C314" s="1">
        <v>0.16095698598240099</v>
      </c>
      <c r="D314" s="1">
        <v>0.154865140716235</v>
      </c>
      <c r="E314" s="1">
        <v>192</v>
      </c>
      <c r="F314" s="1">
        <v>5</v>
      </c>
      <c r="G314" s="1">
        <v>27.884149305555599</v>
      </c>
      <c r="H314" s="1">
        <v>2.6041666666666699E-2</v>
      </c>
      <c r="I314" s="1">
        <v>8.9285714285714302E-2</v>
      </c>
      <c r="J314" s="1">
        <v>10</v>
      </c>
      <c r="K314" s="1">
        <v>2008</v>
      </c>
      <c r="L314" s="1"/>
      <c r="M314" s="1">
        <v>2.6041666666666699E-2</v>
      </c>
      <c r="N314" s="1">
        <v>2.6041666666666699E-2</v>
      </c>
      <c r="O314" s="1">
        <f>(N314-N313)/N313</f>
        <v>1.4999999999999949</v>
      </c>
      <c r="P314" s="2">
        <v>39736</v>
      </c>
      <c r="Q314" s="1">
        <v>37</v>
      </c>
      <c r="R314" s="1"/>
    </row>
    <row r="315" spans="1:18" x14ac:dyDescent="0.2">
      <c r="A315" s="3">
        <v>314</v>
      </c>
      <c r="B315" s="2">
        <v>39744</v>
      </c>
      <c r="C315" s="1">
        <v>0.22402144633705101</v>
      </c>
      <c r="D315" s="1">
        <v>0.20126568029324199</v>
      </c>
      <c r="E315" s="1">
        <v>168</v>
      </c>
      <c r="F315" s="1">
        <v>15</v>
      </c>
      <c r="G315" s="1">
        <v>28.317170138888901</v>
      </c>
      <c r="H315" s="1">
        <v>8.9285714285714302E-2</v>
      </c>
      <c r="I315" s="1">
        <v>1.5625E-2</v>
      </c>
      <c r="J315" s="1">
        <v>10</v>
      </c>
      <c r="K315" s="1">
        <v>2008</v>
      </c>
      <c r="L315" s="1"/>
      <c r="M315" s="1">
        <v>8.9285714285714302E-2</v>
      </c>
      <c r="N315" s="1">
        <v>8.9285714285714302E-2</v>
      </c>
      <c r="O315" s="1">
        <f>(N315-N314)/N314</f>
        <v>2.4285714285714248</v>
      </c>
      <c r="P315" s="2">
        <v>39744</v>
      </c>
      <c r="Q315" s="1">
        <v>38</v>
      </c>
      <c r="R315" s="1"/>
    </row>
    <row r="316" spans="1:18" x14ac:dyDescent="0.2">
      <c r="A316" s="3">
        <v>315</v>
      </c>
      <c r="B316" s="2">
        <v>39752</v>
      </c>
      <c r="C316" s="1">
        <v>0.13314985235532101</v>
      </c>
      <c r="D316" s="1">
        <v>0.138946736852328</v>
      </c>
      <c r="E316" s="1">
        <v>192</v>
      </c>
      <c r="F316" s="1">
        <v>3</v>
      </c>
      <c r="G316" s="1">
        <v>28.736371527777798</v>
      </c>
      <c r="H316" s="1">
        <v>1.5625E-2</v>
      </c>
      <c r="I316" s="1">
        <v>5.2083333333333296E-3</v>
      </c>
      <c r="J316" s="1">
        <v>10</v>
      </c>
      <c r="K316" s="1">
        <v>2008</v>
      </c>
      <c r="L316" s="1"/>
      <c r="M316" s="1">
        <v>1.5625E-2</v>
      </c>
      <c r="N316" s="1">
        <v>1.5625E-2</v>
      </c>
      <c r="O316" s="1">
        <f>(N316-N315)/N315</f>
        <v>-0.82500000000000007</v>
      </c>
      <c r="P316" s="2">
        <v>39752</v>
      </c>
      <c r="Q316" s="1">
        <v>39</v>
      </c>
      <c r="R316" s="1"/>
    </row>
    <row r="317" spans="1:18" x14ac:dyDescent="0.2">
      <c r="A317" s="3">
        <v>316</v>
      </c>
      <c r="B317" s="2">
        <v>39760</v>
      </c>
      <c r="C317" s="1">
        <v>7.45414400393246E-2</v>
      </c>
      <c r="D317" s="1">
        <v>6.7361162354548795E-2</v>
      </c>
      <c r="E317" s="1">
        <v>192</v>
      </c>
      <c r="F317" s="1">
        <v>1</v>
      </c>
      <c r="G317" s="1">
        <v>28.948038194444401</v>
      </c>
      <c r="H317" s="1">
        <v>5.2083333333333296E-3</v>
      </c>
      <c r="I317" s="1">
        <v>0</v>
      </c>
      <c r="J317" s="1">
        <v>11</v>
      </c>
      <c r="K317" s="1">
        <v>2008</v>
      </c>
      <c r="L317" s="1"/>
      <c r="M317" s="1">
        <v>5.2083333333333296E-3</v>
      </c>
      <c r="N317" s="1">
        <v>5.2083333333333296E-3</v>
      </c>
      <c r="O317" s="1">
        <f>(N317-N316)/N316</f>
        <v>-0.66666666666666696</v>
      </c>
      <c r="P317" s="2">
        <v>39760</v>
      </c>
      <c r="Q317" s="1">
        <v>40</v>
      </c>
      <c r="R317" s="1"/>
    </row>
    <row r="318" spans="1:18" x14ac:dyDescent="0.2">
      <c r="A318" s="3">
        <v>317</v>
      </c>
      <c r="B318" s="2">
        <v>39768</v>
      </c>
      <c r="C318" s="1">
        <v>0.149024963378906</v>
      </c>
      <c r="D318" s="1" t="s">
        <v>0</v>
      </c>
      <c r="E318" s="1">
        <v>192</v>
      </c>
      <c r="F318" s="1">
        <v>0</v>
      </c>
      <c r="G318" s="1">
        <v>28.757673611111102</v>
      </c>
      <c r="H318" s="1">
        <v>0</v>
      </c>
      <c r="I318" s="1">
        <v>0</v>
      </c>
      <c r="J318" s="1">
        <v>11</v>
      </c>
      <c r="K318" s="1">
        <v>2008</v>
      </c>
      <c r="L318" s="1"/>
      <c r="M318" s="1">
        <v>1E-3</v>
      </c>
      <c r="N318" s="1">
        <v>1E-3</v>
      </c>
      <c r="O318" s="1">
        <f>(N318-N317)/N317</f>
        <v>-0.80799999999999983</v>
      </c>
      <c r="P318" s="2">
        <v>39768</v>
      </c>
      <c r="Q318" s="1">
        <v>41</v>
      </c>
      <c r="R318" s="1"/>
    </row>
    <row r="319" spans="1:18" x14ac:dyDescent="0.2">
      <c r="A319" s="3">
        <v>318</v>
      </c>
      <c r="B319" s="2">
        <v>39776</v>
      </c>
      <c r="C319" s="1">
        <v>9.6061721107507297E-2</v>
      </c>
      <c r="D319" s="1">
        <v>7.8340150415897397E-2</v>
      </c>
      <c r="E319" s="1">
        <v>192</v>
      </c>
      <c r="F319" s="1">
        <v>0</v>
      </c>
      <c r="G319" s="1">
        <v>28.3753125</v>
      </c>
      <c r="H319" s="1">
        <v>0</v>
      </c>
      <c r="I319" s="1">
        <v>0</v>
      </c>
      <c r="J319" s="1">
        <v>11</v>
      </c>
      <c r="K319" s="1">
        <v>2008</v>
      </c>
      <c r="L319" s="1"/>
      <c r="M319" s="1">
        <v>1E-3</v>
      </c>
      <c r="N319" s="1">
        <v>1E-3</v>
      </c>
      <c r="O319" s="1">
        <f>(N319-N318)/N318</f>
        <v>0</v>
      </c>
      <c r="P319" s="2">
        <v>39776</v>
      </c>
      <c r="Q319" s="1">
        <v>42</v>
      </c>
      <c r="R319" s="1"/>
    </row>
    <row r="320" spans="1:18" x14ac:dyDescent="0.2">
      <c r="A320" s="3">
        <v>319</v>
      </c>
      <c r="B320" s="2">
        <v>39784</v>
      </c>
      <c r="C320" s="1">
        <v>8.9206332261815194E-2</v>
      </c>
      <c r="D320" s="1">
        <v>6.50069198260705E-2</v>
      </c>
      <c r="E320" s="1">
        <v>192</v>
      </c>
      <c r="F320" s="1">
        <v>0</v>
      </c>
      <c r="G320" s="1">
        <v>28.830850694444401</v>
      </c>
      <c r="H320" s="1">
        <v>0</v>
      </c>
      <c r="I320" s="1">
        <v>0</v>
      </c>
      <c r="J320" s="1">
        <v>12</v>
      </c>
      <c r="K320" s="1">
        <v>2008</v>
      </c>
      <c r="L320" s="1"/>
      <c r="M320" s="1">
        <v>1E-3</v>
      </c>
      <c r="N320" s="1">
        <v>1E-3</v>
      </c>
      <c r="O320" s="1">
        <f>(N320-N319)/N319</f>
        <v>0</v>
      </c>
      <c r="P320" s="2">
        <v>39784</v>
      </c>
      <c r="Q320" s="1">
        <v>43</v>
      </c>
      <c r="R320" s="1"/>
    </row>
    <row r="321" spans="1:18" x14ac:dyDescent="0.2">
      <c r="A321" s="3">
        <v>320</v>
      </c>
      <c r="B321" s="2">
        <v>39792</v>
      </c>
      <c r="C321" s="1">
        <v>9.4399832938549796E-2</v>
      </c>
      <c r="D321" s="1">
        <v>6.6410860667626095E-2</v>
      </c>
      <c r="E321" s="1">
        <v>192</v>
      </c>
      <c r="F321" s="1">
        <v>0</v>
      </c>
      <c r="G321" s="1">
        <v>29.0053298611111</v>
      </c>
      <c r="H321" s="1">
        <v>0</v>
      </c>
      <c r="I321" s="1">
        <v>5.2083333333333296E-3</v>
      </c>
      <c r="J321" s="1">
        <v>12</v>
      </c>
      <c r="K321" s="1">
        <v>2008</v>
      </c>
      <c r="L321" s="1"/>
      <c r="M321" s="1">
        <v>1E-3</v>
      </c>
      <c r="N321" s="1">
        <v>1E-3</v>
      </c>
      <c r="O321" s="1">
        <f>(N321-N320)/N320</f>
        <v>0</v>
      </c>
      <c r="P321" s="2">
        <v>39792</v>
      </c>
      <c r="Q321" s="1">
        <v>44</v>
      </c>
      <c r="R321" s="1"/>
    </row>
    <row r="322" spans="1:18" x14ac:dyDescent="0.2">
      <c r="A322" s="3">
        <v>321</v>
      </c>
      <c r="B322" s="2">
        <v>39800</v>
      </c>
      <c r="C322" s="1">
        <v>0.12503301691726801</v>
      </c>
      <c r="D322" s="1">
        <v>0.106738723814487</v>
      </c>
      <c r="E322" s="1">
        <v>192</v>
      </c>
      <c r="F322" s="1">
        <v>1</v>
      </c>
      <c r="G322" s="1">
        <v>28.7965625</v>
      </c>
      <c r="H322" s="1">
        <v>5.2083333333333296E-3</v>
      </c>
      <c r="I322" s="1">
        <v>2.7777777777777801E-2</v>
      </c>
      <c r="J322" s="1">
        <v>12</v>
      </c>
      <c r="K322" s="1">
        <v>2008</v>
      </c>
      <c r="L322" s="1"/>
      <c r="M322" s="1">
        <v>5.2083333333333296E-3</v>
      </c>
      <c r="N322" s="1">
        <v>5.2083333333333296E-3</v>
      </c>
      <c r="O322" s="1">
        <f>(N322-N321)/N321</f>
        <v>4.2083333333333295</v>
      </c>
      <c r="P322" s="2">
        <v>39800</v>
      </c>
      <c r="Q322" s="1">
        <v>45</v>
      </c>
      <c r="R322" s="1"/>
    </row>
    <row r="323" spans="1:18" x14ac:dyDescent="0.2">
      <c r="A323" s="3">
        <v>322</v>
      </c>
      <c r="B323" s="2">
        <v>39808</v>
      </c>
      <c r="C323" s="1">
        <v>0.11280279068794501</v>
      </c>
      <c r="D323" s="1">
        <v>0.107665083060662</v>
      </c>
      <c r="E323" s="1">
        <v>144</v>
      </c>
      <c r="F323" s="1">
        <v>4</v>
      </c>
      <c r="G323" s="1">
        <v>28.436643518518501</v>
      </c>
      <c r="H323" s="1">
        <v>2.7777777777777801E-2</v>
      </c>
      <c r="I323" s="1">
        <v>0</v>
      </c>
      <c r="J323" s="1">
        <v>12</v>
      </c>
      <c r="K323" s="1">
        <v>2008</v>
      </c>
      <c r="L323" s="1"/>
      <c r="M323" s="1">
        <v>2.7777777777777801E-2</v>
      </c>
      <c r="N323" s="1">
        <v>2.7777777777777801E-2</v>
      </c>
      <c r="O323" s="1">
        <f>(N323-N322)/N322</f>
        <v>4.3333333333333419</v>
      </c>
      <c r="P323" s="2">
        <v>39808</v>
      </c>
      <c r="Q323" s="1">
        <v>46</v>
      </c>
      <c r="R323" s="1"/>
    </row>
    <row r="324" spans="1:18" x14ac:dyDescent="0.2">
      <c r="A324" s="3">
        <v>323</v>
      </c>
      <c r="B324" s="2">
        <v>39814</v>
      </c>
      <c r="C324" s="1">
        <v>0.134603546839207</v>
      </c>
      <c r="D324" s="1">
        <v>0.109989620745182</v>
      </c>
      <c r="E324" s="1">
        <v>192</v>
      </c>
      <c r="F324" s="1">
        <v>0</v>
      </c>
      <c r="G324" s="1">
        <v>28.4715104166667</v>
      </c>
      <c r="H324" s="1">
        <v>0</v>
      </c>
      <c r="I324" s="1">
        <v>0</v>
      </c>
      <c r="J324" s="1">
        <v>1</v>
      </c>
      <c r="K324" s="1">
        <v>2009</v>
      </c>
      <c r="L324" s="1"/>
      <c r="M324" s="1">
        <v>1E-3</v>
      </c>
      <c r="N324" s="1">
        <v>1E-3</v>
      </c>
      <c r="O324" s="1">
        <f>(N324-N323)/N323</f>
        <v>-0.96399999999999997</v>
      </c>
      <c r="P324" s="2">
        <v>39814</v>
      </c>
      <c r="Q324" s="1">
        <v>1</v>
      </c>
      <c r="R324" s="1"/>
    </row>
    <row r="325" spans="1:18" x14ac:dyDescent="0.2">
      <c r="A325" s="3">
        <v>324</v>
      </c>
      <c r="B325" s="2">
        <v>39822</v>
      </c>
      <c r="C325" s="1">
        <v>0.116961726995968</v>
      </c>
      <c r="D325" s="1">
        <v>9.8310448229312897E-2</v>
      </c>
      <c r="E325" s="1">
        <v>192</v>
      </c>
      <c r="F325" s="1">
        <v>0</v>
      </c>
      <c r="G325" s="1">
        <v>28.754114583333301</v>
      </c>
      <c r="H325" s="1">
        <v>0</v>
      </c>
      <c r="I325" s="1">
        <v>5.2083333333333296E-3</v>
      </c>
      <c r="J325" s="1">
        <v>1</v>
      </c>
      <c r="K325" s="1">
        <v>2009</v>
      </c>
      <c r="L325" s="1"/>
      <c r="M325" s="1">
        <v>1E-3</v>
      </c>
      <c r="N325" s="1">
        <v>1E-3</v>
      </c>
      <c r="O325" s="1">
        <f>(N325-N324)/N324</f>
        <v>0</v>
      </c>
      <c r="P325" s="2">
        <v>39822</v>
      </c>
      <c r="Q325" s="1">
        <v>2</v>
      </c>
      <c r="R325" s="1"/>
    </row>
    <row r="326" spans="1:18" x14ac:dyDescent="0.2">
      <c r="A326" s="3">
        <v>325</v>
      </c>
      <c r="B326" s="2">
        <v>39830</v>
      </c>
      <c r="C326" s="1">
        <v>0.132802336667635</v>
      </c>
      <c r="D326" s="1">
        <v>0.11814623946944899</v>
      </c>
      <c r="E326" s="1">
        <v>192</v>
      </c>
      <c r="F326" s="1">
        <v>1</v>
      </c>
      <c r="G326" s="1">
        <v>28.6792534722222</v>
      </c>
      <c r="H326" s="1">
        <v>5.2083333333333296E-3</v>
      </c>
      <c r="I326" s="1">
        <v>5.2083333333333296E-3</v>
      </c>
      <c r="J326" s="1">
        <v>1</v>
      </c>
      <c r="K326" s="1">
        <v>2009</v>
      </c>
      <c r="L326" s="1"/>
      <c r="M326" s="1">
        <v>5.2083333333333296E-3</v>
      </c>
      <c r="N326" s="1">
        <v>5.2083333333333296E-3</v>
      </c>
      <c r="O326" s="1">
        <f>(N326-N325)/N325</f>
        <v>4.2083333333333295</v>
      </c>
      <c r="P326" s="2">
        <v>39830</v>
      </c>
      <c r="Q326" s="1">
        <v>3</v>
      </c>
      <c r="R326" s="1"/>
    </row>
    <row r="327" spans="1:18" x14ac:dyDescent="0.2">
      <c r="A327" s="3">
        <v>326</v>
      </c>
      <c r="B327" s="2">
        <v>39838</v>
      </c>
      <c r="C327" s="1">
        <v>0.119761505109422</v>
      </c>
      <c r="D327" s="1" t="s">
        <v>0</v>
      </c>
      <c r="E327" s="1">
        <v>192</v>
      </c>
      <c r="F327" s="1">
        <v>1</v>
      </c>
      <c r="G327" s="1">
        <v>28.5722395833333</v>
      </c>
      <c r="H327" s="1">
        <v>5.2083333333333296E-3</v>
      </c>
      <c r="I327" s="1">
        <v>0</v>
      </c>
      <c r="J327" s="1">
        <v>1</v>
      </c>
      <c r="K327" s="1">
        <v>2009</v>
      </c>
      <c r="L327" s="1"/>
      <c r="M327" s="1">
        <v>5.2083333333333296E-3</v>
      </c>
      <c r="N327" s="1">
        <v>5.2083333333333296E-3</v>
      </c>
      <c r="O327" s="1">
        <f>(N327-N326)/N326</f>
        <v>0</v>
      </c>
      <c r="P327" s="2">
        <v>39838</v>
      </c>
      <c r="Q327" s="1">
        <v>4</v>
      </c>
      <c r="R327" s="1"/>
    </row>
    <row r="328" spans="1:18" x14ac:dyDescent="0.2">
      <c r="A328" s="3">
        <v>327</v>
      </c>
      <c r="B328" s="2">
        <v>39846</v>
      </c>
      <c r="C328" s="1">
        <v>9.29051450723727E-2</v>
      </c>
      <c r="D328" s="1">
        <v>8.8375397026538793E-2</v>
      </c>
      <c r="E328" s="1">
        <v>192</v>
      </c>
      <c r="F328" s="1">
        <v>0</v>
      </c>
      <c r="G328" s="1">
        <v>28.876059027777799</v>
      </c>
      <c r="H328" s="1">
        <v>0</v>
      </c>
      <c r="I328" s="1">
        <v>0</v>
      </c>
      <c r="J328" s="1">
        <v>2</v>
      </c>
      <c r="K328" s="1">
        <v>2009</v>
      </c>
      <c r="L328" s="1"/>
      <c r="M328" s="1">
        <v>1E-3</v>
      </c>
      <c r="N328" s="1">
        <v>1E-3</v>
      </c>
      <c r="O328" s="1">
        <f>(N328-N327)/N327</f>
        <v>-0.80799999999999983</v>
      </c>
      <c r="P328" s="2">
        <v>39846</v>
      </c>
      <c r="Q328" s="1">
        <v>5</v>
      </c>
      <c r="R328" s="1"/>
    </row>
    <row r="329" spans="1:18" x14ac:dyDescent="0.2">
      <c r="A329" s="3">
        <v>328</v>
      </c>
      <c r="B329" s="2">
        <v>39854</v>
      </c>
      <c r="C329" s="1">
        <v>8.2937724987518904E-2</v>
      </c>
      <c r="D329" s="1">
        <v>7.4884307881196294E-2</v>
      </c>
      <c r="E329" s="1">
        <v>192</v>
      </c>
      <c r="F329" s="1">
        <v>0</v>
      </c>
      <c r="G329" s="1">
        <v>28.9397048611111</v>
      </c>
      <c r="H329" s="1">
        <v>0</v>
      </c>
      <c r="I329" s="1">
        <v>5.2083333333333301E-2</v>
      </c>
      <c r="J329" s="1">
        <v>2</v>
      </c>
      <c r="K329" s="1">
        <v>2009</v>
      </c>
      <c r="L329" s="1"/>
      <c r="M329" s="1">
        <v>1E-3</v>
      </c>
      <c r="N329" s="1">
        <v>1E-3</v>
      </c>
      <c r="O329" s="1">
        <f>(N329-N328)/N328</f>
        <v>0</v>
      </c>
      <c r="P329" s="2">
        <v>39854</v>
      </c>
      <c r="Q329" s="1">
        <v>6</v>
      </c>
      <c r="R329" s="1"/>
    </row>
    <row r="330" spans="1:18" x14ac:dyDescent="0.2">
      <c r="A330" s="3">
        <v>329</v>
      </c>
      <c r="B330" s="2">
        <v>39862</v>
      </c>
      <c r="C330" s="1">
        <v>8.0234120340918605E-2</v>
      </c>
      <c r="D330" s="1">
        <v>7.2070191303889003E-2</v>
      </c>
      <c r="E330" s="1">
        <v>192</v>
      </c>
      <c r="F330" s="1">
        <v>10</v>
      </c>
      <c r="G330" s="1">
        <v>28.6876215277778</v>
      </c>
      <c r="H330" s="1">
        <v>5.2083333333333301E-2</v>
      </c>
      <c r="I330" s="1">
        <v>0</v>
      </c>
      <c r="J330" s="1">
        <v>2</v>
      </c>
      <c r="K330" s="1">
        <v>2009</v>
      </c>
      <c r="L330" s="1"/>
      <c r="M330" s="1">
        <v>5.2083333333333301E-2</v>
      </c>
      <c r="N330" s="1">
        <v>5.2083333333333301E-2</v>
      </c>
      <c r="O330" s="1">
        <f>(N330-N329)/N329</f>
        <v>51.0833333333333</v>
      </c>
      <c r="P330" s="2">
        <v>39862</v>
      </c>
      <c r="Q330" s="1">
        <v>7</v>
      </c>
      <c r="R330" s="1"/>
    </row>
    <row r="331" spans="1:18" x14ac:dyDescent="0.2">
      <c r="A331" s="3">
        <v>330</v>
      </c>
      <c r="B331" s="2">
        <v>39870</v>
      </c>
      <c r="C331" s="1">
        <v>8.6049775034189202E-2</v>
      </c>
      <c r="D331" s="1">
        <v>8.4614031016826602E-2</v>
      </c>
      <c r="E331" s="1">
        <v>192</v>
      </c>
      <c r="F331" s="1">
        <v>0</v>
      </c>
      <c r="G331" s="1">
        <v>28.5457291666667</v>
      </c>
      <c r="H331" s="1">
        <v>0</v>
      </c>
      <c r="I331" s="1">
        <v>5.2083333333333296E-3</v>
      </c>
      <c r="J331" s="1">
        <v>2</v>
      </c>
      <c r="K331" s="1">
        <v>2009</v>
      </c>
      <c r="L331" s="1"/>
      <c r="M331" s="1">
        <v>1E-3</v>
      </c>
      <c r="N331" s="1">
        <v>1E-3</v>
      </c>
      <c r="O331" s="1">
        <f>(N331-N330)/N330</f>
        <v>-0.98080000000000001</v>
      </c>
      <c r="P331" s="2">
        <v>39870</v>
      </c>
      <c r="Q331" s="1">
        <v>8</v>
      </c>
      <c r="R331" s="1"/>
    </row>
    <row r="332" spans="1:18" x14ac:dyDescent="0.2">
      <c r="A332" s="3">
        <v>331</v>
      </c>
      <c r="B332" s="2">
        <v>39878</v>
      </c>
      <c r="C332" s="1">
        <v>8.6780003148992105E-2</v>
      </c>
      <c r="D332" s="1">
        <v>7.7043277521928105E-2</v>
      </c>
      <c r="E332" s="1">
        <v>192</v>
      </c>
      <c r="F332" s="1">
        <v>1</v>
      </c>
      <c r="G332" s="1">
        <v>28.847864583333301</v>
      </c>
      <c r="H332" s="1">
        <v>5.2083333333333296E-3</v>
      </c>
      <c r="I332" s="1">
        <v>0</v>
      </c>
      <c r="J332" s="1">
        <v>3</v>
      </c>
      <c r="K332" s="1">
        <v>2009</v>
      </c>
      <c r="L332" s="1"/>
      <c r="M332" s="1">
        <v>5.2083333333333296E-3</v>
      </c>
      <c r="N332" s="1">
        <v>5.2083333333333296E-3</v>
      </c>
      <c r="O332" s="1">
        <f>(N332-N331)/N331</f>
        <v>4.2083333333333295</v>
      </c>
      <c r="P332" s="2">
        <v>39878</v>
      </c>
      <c r="Q332" s="1">
        <v>9</v>
      </c>
      <c r="R332" s="1"/>
    </row>
    <row r="333" spans="1:18" x14ac:dyDescent="0.2">
      <c r="A333" s="3">
        <v>332</v>
      </c>
      <c r="B333" s="2">
        <v>39886</v>
      </c>
      <c r="C333" s="1">
        <v>0.10530748570988201</v>
      </c>
      <c r="D333" s="1">
        <v>9.6323747187852901E-2</v>
      </c>
      <c r="E333" s="1">
        <v>192</v>
      </c>
      <c r="F333" s="1">
        <v>0</v>
      </c>
      <c r="G333" s="1">
        <v>29.388940972222201</v>
      </c>
      <c r="H333" s="1">
        <v>0</v>
      </c>
      <c r="I333" s="1">
        <v>0</v>
      </c>
      <c r="J333" s="1">
        <v>3</v>
      </c>
      <c r="K333" s="1">
        <v>2009</v>
      </c>
      <c r="L333" s="1"/>
      <c r="M333" s="1">
        <v>1E-3</v>
      </c>
      <c r="N333" s="1">
        <v>1E-3</v>
      </c>
      <c r="O333" s="1">
        <f>(N333-N332)/N332</f>
        <v>-0.80799999999999983</v>
      </c>
      <c r="P333" s="2">
        <v>39886</v>
      </c>
      <c r="Q333" s="1">
        <v>10</v>
      </c>
      <c r="R333" s="1"/>
    </row>
    <row r="334" spans="1:18" x14ac:dyDescent="0.2">
      <c r="A334" s="3">
        <v>333</v>
      </c>
      <c r="B334" s="2">
        <v>39894</v>
      </c>
      <c r="C334" s="1">
        <v>0.123240928631276</v>
      </c>
      <c r="D334" s="1">
        <v>0.103213892628749</v>
      </c>
      <c r="E334" s="1">
        <v>192</v>
      </c>
      <c r="F334" s="1">
        <v>0</v>
      </c>
      <c r="G334" s="1">
        <v>29.549687500000001</v>
      </c>
      <c r="H334" s="1">
        <v>0</v>
      </c>
      <c r="I334" s="1">
        <v>0</v>
      </c>
      <c r="J334" s="1">
        <v>3</v>
      </c>
      <c r="K334" s="1">
        <v>2009</v>
      </c>
      <c r="L334" s="1"/>
      <c r="M334" s="1">
        <v>1E-3</v>
      </c>
      <c r="N334" s="1">
        <v>1E-3</v>
      </c>
      <c r="O334" s="1">
        <f>(N334-N333)/N333</f>
        <v>0</v>
      </c>
      <c r="P334" s="2">
        <v>39894</v>
      </c>
      <c r="Q334" s="1">
        <v>11</v>
      </c>
      <c r="R334" s="1"/>
    </row>
    <row r="335" spans="1:18" x14ac:dyDescent="0.2">
      <c r="A335" s="3">
        <v>334</v>
      </c>
      <c r="B335" s="2">
        <v>39902</v>
      </c>
      <c r="C335" s="1">
        <v>0.14163150027747001</v>
      </c>
      <c r="D335" s="1">
        <v>0.13088317215442699</v>
      </c>
      <c r="E335" s="1">
        <v>192</v>
      </c>
      <c r="F335" s="1">
        <v>0</v>
      </c>
      <c r="G335" s="1">
        <v>28.842708333333299</v>
      </c>
      <c r="H335" s="1">
        <v>0</v>
      </c>
      <c r="I335" s="1">
        <v>0</v>
      </c>
      <c r="J335" s="1">
        <v>3</v>
      </c>
      <c r="K335" s="1">
        <v>2009</v>
      </c>
      <c r="L335" s="1"/>
      <c r="M335" s="1">
        <v>1E-3</v>
      </c>
      <c r="N335" s="1">
        <v>1E-3</v>
      </c>
      <c r="O335" s="1">
        <f>(N335-N334)/N334</f>
        <v>0</v>
      </c>
      <c r="P335" s="2">
        <v>39902</v>
      </c>
      <c r="Q335" s="1">
        <v>12</v>
      </c>
      <c r="R335" s="1"/>
    </row>
    <row r="336" spans="1:18" x14ac:dyDescent="0.2">
      <c r="A336" s="3">
        <v>335</v>
      </c>
      <c r="B336" s="2">
        <v>39910</v>
      </c>
      <c r="C336" s="1">
        <v>0.114092707567843</v>
      </c>
      <c r="D336" s="1">
        <v>0.10718820492426601</v>
      </c>
      <c r="E336" s="1">
        <v>192</v>
      </c>
      <c r="F336" s="1">
        <v>0</v>
      </c>
      <c r="G336" s="1">
        <v>28.810434027777799</v>
      </c>
      <c r="H336" s="1">
        <v>0</v>
      </c>
      <c r="I336" s="1">
        <v>0</v>
      </c>
      <c r="J336" s="1">
        <v>4</v>
      </c>
      <c r="K336" s="1">
        <v>2009</v>
      </c>
      <c r="L336" s="1"/>
      <c r="M336" s="1">
        <v>1E-3</v>
      </c>
      <c r="N336" s="1">
        <v>1E-3</v>
      </c>
      <c r="O336" s="1">
        <f>(N336-N335)/N335</f>
        <v>0</v>
      </c>
      <c r="P336" s="2">
        <v>39910</v>
      </c>
      <c r="Q336" s="1">
        <v>13</v>
      </c>
      <c r="R336" s="1"/>
    </row>
    <row r="337" spans="1:18" x14ac:dyDescent="0.2">
      <c r="A337" s="3">
        <v>336</v>
      </c>
      <c r="B337" s="2">
        <v>39918</v>
      </c>
      <c r="C337" s="1">
        <v>0.193295911782318</v>
      </c>
      <c r="D337" s="1">
        <v>0.186581452687581</v>
      </c>
      <c r="E337" s="1">
        <v>192</v>
      </c>
      <c r="F337" s="1">
        <v>0</v>
      </c>
      <c r="G337" s="1">
        <v>28.551510416666702</v>
      </c>
      <c r="H337" s="1">
        <v>0</v>
      </c>
      <c r="I337" s="1">
        <v>0</v>
      </c>
      <c r="J337" s="1">
        <v>4</v>
      </c>
      <c r="K337" s="1">
        <v>2009</v>
      </c>
      <c r="L337" s="1"/>
      <c r="M337" s="1">
        <v>1E-3</v>
      </c>
      <c r="N337" s="1">
        <v>1E-3</v>
      </c>
      <c r="O337" s="1">
        <f>(N337-N336)/N336</f>
        <v>0</v>
      </c>
      <c r="P337" s="2">
        <v>39918</v>
      </c>
      <c r="Q337" s="1">
        <v>14</v>
      </c>
      <c r="R337" s="1"/>
    </row>
    <row r="338" spans="1:18" x14ac:dyDescent="0.2">
      <c r="A338" s="3">
        <v>337</v>
      </c>
      <c r="B338" s="2">
        <v>39926</v>
      </c>
      <c r="C338" s="1">
        <v>0.14909774426525199</v>
      </c>
      <c r="D338" s="1">
        <v>0.13879863421122199</v>
      </c>
      <c r="E338" s="1">
        <v>192</v>
      </c>
      <c r="F338" s="1">
        <v>0</v>
      </c>
      <c r="G338" s="1">
        <v>28.708559027777799</v>
      </c>
      <c r="H338" s="1">
        <v>0</v>
      </c>
      <c r="I338" s="1">
        <v>0</v>
      </c>
      <c r="J338" s="1">
        <v>4</v>
      </c>
      <c r="K338" s="1">
        <v>2009</v>
      </c>
      <c r="L338" s="1"/>
      <c r="M338" s="1">
        <v>1E-3</v>
      </c>
      <c r="N338" s="1">
        <v>1E-3</v>
      </c>
      <c r="O338" s="1">
        <f>(N338-N337)/N337</f>
        <v>0</v>
      </c>
      <c r="P338" s="2">
        <v>39926</v>
      </c>
      <c r="Q338" s="1">
        <v>15</v>
      </c>
      <c r="R338" s="1"/>
    </row>
    <row r="339" spans="1:18" x14ac:dyDescent="0.2">
      <c r="A339" s="3">
        <v>338</v>
      </c>
      <c r="B339" s="2">
        <v>39934</v>
      </c>
      <c r="C339" s="1">
        <v>0.14580275501901599</v>
      </c>
      <c r="D339" s="1">
        <v>0.130827486515045</v>
      </c>
      <c r="E339" s="1">
        <v>192</v>
      </c>
      <c r="F339" s="1">
        <v>0</v>
      </c>
      <c r="G339" s="1">
        <v>28.371579861111101</v>
      </c>
      <c r="H339" s="1">
        <v>0</v>
      </c>
      <c r="I339" s="1">
        <v>2.6041666666666699E-2</v>
      </c>
      <c r="J339" s="1">
        <v>5</v>
      </c>
      <c r="K339" s="1">
        <v>2009</v>
      </c>
      <c r="L339" s="1"/>
      <c r="M339" s="1">
        <v>1E-3</v>
      </c>
      <c r="N339" s="1">
        <v>1E-3</v>
      </c>
      <c r="O339" s="1">
        <f>(N339-N338)/N338</f>
        <v>0</v>
      </c>
      <c r="P339" s="2">
        <v>39934</v>
      </c>
      <c r="Q339" s="1">
        <v>16</v>
      </c>
      <c r="R339" s="1"/>
    </row>
    <row r="340" spans="1:18" x14ac:dyDescent="0.2">
      <c r="A340" s="3">
        <v>339</v>
      </c>
      <c r="B340" s="2">
        <v>39942</v>
      </c>
      <c r="C340" s="1">
        <v>0.15989440119266499</v>
      </c>
      <c r="D340" s="1">
        <v>0.14359213908513399</v>
      </c>
      <c r="E340" s="1">
        <v>192</v>
      </c>
      <c r="F340" s="1">
        <v>5</v>
      </c>
      <c r="G340" s="1">
        <v>28.0939409722222</v>
      </c>
      <c r="H340" s="1">
        <v>2.6041666666666699E-2</v>
      </c>
      <c r="I340" s="1">
        <v>5.2083333333333296E-3</v>
      </c>
      <c r="J340" s="1">
        <v>5</v>
      </c>
      <c r="K340" s="1">
        <v>2009</v>
      </c>
      <c r="L340" s="1"/>
      <c r="M340" s="1">
        <v>2.6041666666666699E-2</v>
      </c>
      <c r="N340" s="1">
        <v>2.6041666666666699E-2</v>
      </c>
      <c r="O340" s="1">
        <f>(N340-N339)/N339</f>
        <v>25.041666666666696</v>
      </c>
      <c r="P340" s="2">
        <v>39942</v>
      </c>
      <c r="Q340" s="1">
        <v>17</v>
      </c>
      <c r="R340" s="1"/>
    </row>
    <row r="341" spans="1:18" x14ac:dyDescent="0.2">
      <c r="A341" s="3">
        <v>340</v>
      </c>
      <c r="B341" s="2">
        <v>39950</v>
      </c>
      <c r="C341" s="1">
        <v>0.14630890397366</v>
      </c>
      <c r="D341" s="1">
        <v>0.14049814393123</v>
      </c>
      <c r="E341" s="1">
        <v>192</v>
      </c>
      <c r="F341" s="1">
        <v>1</v>
      </c>
      <c r="G341" s="1">
        <v>27.841493055555599</v>
      </c>
      <c r="H341" s="1">
        <v>5.2083333333333296E-3</v>
      </c>
      <c r="I341" s="1">
        <v>0.15104166666666699</v>
      </c>
      <c r="J341" s="1">
        <v>5</v>
      </c>
      <c r="K341" s="1">
        <v>2009</v>
      </c>
      <c r="L341" s="1"/>
      <c r="M341" s="1">
        <v>5.2083333333333296E-3</v>
      </c>
      <c r="N341" s="1">
        <v>5.2083333333333296E-3</v>
      </c>
      <c r="O341" s="1">
        <f>(N341-N340)/N340</f>
        <v>-0.80000000000000038</v>
      </c>
      <c r="P341" s="2">
        <v>39950</v>
      </c>
      <c r="Q341" s="1">
        <v>18</v>
      </c>
      <c r="R341" s="1"/>
    </row>
    <row r="342" spans="1:18" x14ac:dyDescent="0.2">
      <c r="A342" s="3">
        <v>341</v>
      </c>
      <c r="B342" s="2">
        <v>39958</v>
      </c>
      <c r="C342" s="1">
        <v>0.17488638897394301</v>
      </c>
      <c r="D342" s="1">
        <v>0.18077970147132899</v>
      </c>
      <c r="E342" s="1">
        <v>192</v>
      </c>
      <c r="F342" s="1">
        <v>29</v>
      </c>
      <c r="G342" s="1">
        <v>27.3420486111111</v>
      </c>
      <c r="H342" s="1">
        <v>0.15104166666666699</v>
      </c>
      <c r="I342" s="1">
        <v>0.76041666666666696</v>
      </c>
      <c r="J342" s="1">
        <v>5</v>
      </c>
      <c r="K342" s="1">
        <v>2009</v>
      </c>
      <c r="L342" s="1"/>
      <c r="M342" s="1">
        <v>0.15104166666666699</v>
      </c>
      <c r="N342" s="1">
        <v>0.15104166666666699</v>
      </c>
      <c r="O342" s="1">
        <f>(N342-N341)/N341</f>
        <v>28.000000000000082</v>
      </c>
      <c r="P342" s="2">
        <v>39958</v>
      </c>
      <c r="Q342" s="1">
        <v>19</v>
      </c>
      <c r="R342" s="1"/>
    </row>
    <row r="343" spans="1:18" x14ac:dyDescent="0.2">
      <c r="A343" s="3">
        <v>342</v>
      </c>
      <c r="B343" s="2">
        <v>39966</v>
      </c>
      <c r="C343" s="1">
        <v>0.16017628095206399</v>
      </c>
      <c r="D343" s="1">
        <v>0.14670571933189999</v>
      </c>
      <c r="E343" s="1">
        <v>192</v>
      </c>
      <c r="F343" s="1">
        <v>146</v>
      </c>
      <c r="G343" s="1">
        <v>27.1315104166667</v>
      </c>
      <c r="H343" s="1">
        <v>0.76041666666666696</v>
      </c>
      <c r="I343" s="1">
        <v>0.25</v>
      </c>
      <c r="J343" s="1">
        <v>6</v>
      </c>
      <c r="K343" s="1">
        <v>2009</v>
      </c>
      <c r="L343" s="1"/>
      <c r="M343" s="1">
        <v>0.76041666666666696</v>
      </c>
      <c r="N343" s="1">
        <v>0.76041666666666696</v>
      </c>
      <c r="O343" s="1">
        <f>(N343-N342)/N342</f>
        <v>4.0344827586206806</v>
      </c>
      <c r="P343" s="2">
        <v>39966</v>
      </c>
      <c r="Q343" s="1">
        <v>20</v>
      </c>
      <c r="R343" s="1"/>
    </row>
    <row r="344" spans="1:18" x14ac:dyDescent="0.2">
      <c r="A344" s="3">
        <v>343</v>
      </c>
      <c r="B344" s="2">
        <v>39974</v>
      </c>
      <c r="C344" s="1">
        <v>0.16684010704240901</v>
      </c>
      <c r="D344" s="1">
        <v>0.15887080132961301</v>
      </c>
      <c r="E344" s="1">
        <v>192</v>
      </c>
      <c r="F344" s="1">
        <v>48</v>
      </c>
      <c r="G344" s="1">
        <v>27.0367361111111</v>
      </c>
      <c r="H344" s="1">
        <v>0.25</v>
      </c>
      <c r="I344" s="1">
        <v>0.52604166666666696</v>
      </c>
      <c r="J344" s="1">
        <v>6</v>
      </c>
      <c r="K344" s="1">
        <v>2009</v>
      </c>
      <c r="L344" s="1"/>
      <c r="M344" s="1">
        <v>0.25</v>
      </c>
      <c r="N344" s="1">
        <v>0.25</v>
      </c>
      <c r="O344" s="1">
        <f>(N344-N343)/N343</f>
        <v>-0.6712328767123289</v>
      </c>
      <c r="P344" s="2">
        <v>39974</v>
      </c>
      <c r="Q344" s="1">
        <v>21</v>
      </c>
      <c r="R344" s="1"/>
    </row>
    <row r="345" spans="1:18" x14ac:dyDescent="0.2">
      <c r="A345" s="3">
        <v>344</v>
      </c>
      <c r="B345" s="2">
        <v>39982</v>
      </c>
      <c r="C345" s="1">
        <v>0.16418057393569199</v>
      </c>
      <c r="D345" s="1">
        <v>0.14895883202552801</v>
      </c>
      <c r="E345" s="1">
        <v>192</v>
      </c>
      <c r="F345" s="1">
        <v>101</v>
      </c>
      <c r="G345" s="1">
        <v>26.738506944444399</v>
      </c>
      <c r="H345" s="1">
        <v>0.52604166666666696</v>
      </c>
      <c r="I345" s="1">
        <v>0.69791666666666696</v>
      </c>
      <c r="J345" s="1">
        <v>6</v>
      </c>
      <c r="K345" s="1">
        <v>2009</v>
      </c>
      <c r="L345" s="1"/>
      <c r="M345" s="1">
        <v>0.52604166666666696</v>
      </c>
      <c r="N345" s="1">
        <v>0.52604166666666696</v>
      </c>
      <c r="O345" s="1">
        <f>(N345-N344)/N344</f>
        <v>1.1041666666666679</v>
      </c>
      <c r="P345" s="2">
        <v>39982</v>
      </c>
      <c r="Q345" s="1">
        <v>22</v>
      </c>
      <c r="R345" s="1"/>
    </row>
    <row r="346" spans="1:18" x14ac:dyDescent="0.2">
      <c r="A346" s="3">
        <v>345</v>
      </c>
      <c r="B346" s="2">
        <v>39990</v>
      </c>
      <c r="C346" s="1">
        <v>0.21203815553491601</v>
      </c>
      <c r="D346" s="1">
        <v>0.212773541609446</v>
      </c>
      <c r="E346" s="1">
        <v>192</v>
      </c>
      <c r="F346" s="1">
        <v>134</v>
      </c>
      <c r="G346" s="1">
        <v>26.401371527777801</v>
      </c>
      <c r="H346" s="1">
        <v>0.69791666666666696</v>
      </c>
      <c r="I346" s="1">
        <v>0.104166666666667</v>
      </c>
      <c r="J346" s="1">
        <v>6</v>
      </c>
      <c r="K346" s="1">
        <v>2009</v>
      </c>
      <c r="L346" s="1"/>
      <c r="M346" s="1">
        <v>0.69791666666666696</v>
      </c>
      <c r="N346" s="1">
        <v>0.69791666666666696</v>
      </c>
      <c r="O346" s="1">
        <f>(N346-N345)/N345</f>
        <v>0.32673267326732652</v>
      </c>
      <c r="P346" s="2">
        <v>39990</v>
      </c>
      <c r="Q346" s="1">
        <v>23</v>
      </c>
      <c r="R346" s="1"/>
    </row>
    <row r="347" spans="1:18" x14ac:dyDescent="0.2">
      <c r="A347" s="3">
        <v>346</v>
      </c>
      <c r="B347" s="2">
        <v>39998</v>
      </c>
      <c r="C347" s="1">
        <v>0.19745514160465599</v>
      </c>
      <c r="D347" s="1">
        <v>0.202396894494692</v>
      </c>
      <c r="E347" s="1">
        <v>192</v>
      </c>
      <c r="F347" s="1">
        <v>20</v>
      </c>
      <c r="G347" s="1">
        <v>26.4260590277778</v>
      </c>
      <c r="H347" s="1">
        <v>0.104166666666667</v>
      </c>
      <c r="I347" s="1">
        <v>0.109375</v>
      </c>
      <c r="J347" s="1">
        <v>7</v>
      </c>
      <c r="K347" s="1">
        <v>2009</v>
      </c>
      <c r="L347" s="1"/>
      <c r="M347" s="1">
        <v>0.104166666666667</v>
      </c>
      <c r="N347" s="1">
        <v>0.104166666666667</v>
      </c>
      <c r="O347" s="1">
        <f>(N347-N346)/N346</f>
        <v>-0.8507462686567161</v>
      </c>
      <c r="P347" s="2">
        <v>39998</v>
      </c>
      <c r="Q347" s="1">
        <v>24</v>
      </c>
      <c r="R347" s="1"/>
    </row>
    <row r="348" spans="1:18" x14ac:dyDescent="0.2">
      <c r="A348" s="3">
        <v>347</v>
      </c>
      <c r="B348" s="2">
        <v>40006</v>
      </c>
      <c r="C348" s="1">
        <v>0.204282966635284</v>
      </c>
      <c r="D348" s="1">
        <v>0.20009275525808301</v>
      </c>
      <c r="E348" s="1">
        <v>192</v>
      </c>
      <c r="F348" s="1">
        <v>21</v>
      </c>
      <c r="G348" s="1">
        <v>26.13296875</v>
      </c>
      <c r="H348" s="1">
        <v>0.109375</v>
      </c>
      <c r="I348" s="1">
        <v>0.78125</v>
      </c>
      <c r="J348" s="1">
        <v>7</v>
      </c>
      <c r="K348" s="1">
        <v>2009</v>
      </c>
      <c r="L348" s="1"/>
      <c r="M348" s="1">
        <v>0.109375</v>
      </c>
      <c r="N348" s="1">
        <v>0.109375</v>
      </c>
      <c r="O348" s="1">
        <f>(N348-N347)/N347</f>
        <v>4.9999999999996596E-2</v>
      </c>
      <c r="P348" s="2">
        <v>40006</v>
      </c>
      <c r="Q348" s="1">
        <v>25</v>
      </c>
      <c r="R348" s="1"/>
    </row>
    <row r="349" spans="1:18" x14ac:dyDescent="0.2">
      <c r="A349" s="3">
        <v>348</v>
      </c>
      <c r="B349" s="5">
        <v>40014</v>
      </c>
      <c r="C349" s="1">
        <v>0.21567453570523401</v>
      </c>
      <c r="D349" s="1">
        <v>0.22725386172532999</v>
      </c>
      <c r="E349" s="1">
        <v>192</v>
      </c>
      <c r="F349" s="1">
        <v>150</v>
      </c>
      <c r="G349" s="1">
        <v>26.0189756944444</v>
      </c>
      <c r="H349" s="1">
        <v>0.78125</v>
      </c>
      <c r="I349" s="1">
        <v>0.91666666666666696</v>
      </c>
      <c r="J349" s="1">
        <v>7</v>
      </c>
      <c r="K349" s="1">
        <v>2009</v>
      </c>
      <c r="L349" s="1">
        <v>0.78125</v>
      </c>
      <c r="N349" s="1">
        <v>0.78125</v>
      </c>
      <c r="O349" s="4">
        <f>(N349-N348)/N348</f>
        <v>6.1428571428571432</v>
      </c>
      <c r="P349" s="5">
        <v>40014</v>
      </c>
      <c r="Q349" s="1">
        <v>26</v>
      </c>
      <c r="R349" s="1"/>
    </row>
    <row r="350" spans="1:18" x14ac:dyDescent="0.2">
      <c r="A350" s="3">
        <v>349</v>
      </c>
      <c r="B350" s="2">
        <v>40022</v>
      </c>
      <c r="C350" s="1">
        <v>0.212363033954586</v>
      </c>
      <c r="D350" s="1">
        <v>0.20601555456717799</v>
      </c>
      <c r="E350" s="1">
        <v>192</v>
      </c>
      <c r="F350" s="1">
        <v>176</v>
      </c>
      <c r="G350" s="1">
        <v>26.2265277777778</v>
      </c>
      <c r="H350" s="1">
        <v>0.91666666666666696</v>
      </c>
      <c r="I350" s="1">
        <v>0.6875</v>
      </c>
      <c r="J350" s="1">
        <v>7</v>
      </c>
      <c r="K350" s="1">
        <v>2009</v>
      </c>
      <c r="L350" s="1">
        <v>0.91666666666666696</v>
      </c>
      <c r="N350" s="1">
        <v>0.91666666666666696</v>
      </c>
      <c r="O350" s="1">
        <f>(N350-N349)/N349</f>
        <v>0.1733333333333337</v>
      </c>
      <c r="P350" s="5">
        <v>40022</v>
      </c>
      <c r="Q350" s="1">
        <v>27</v>
      </c>
      <c r="R350" s="1"/>
    </row>
    <row r="351" spans="1:18" x14ac:dyDescent="0.2">
      <c r="A351" s="3">
        <v>350</v>
      </c>
      <c r="B351" s="2">
        <v>40030</v>
      </c>
      <c r="C351" s="1">
        <v>0.19636830068137301</v>
      </c>
      <c r="D351" s="1">
        <v>0.203990345199903</v>
      </c>
      <c r="E351" s="1">
        <v>192</v>
      </c>
      <c r="F351" s="1">
        <v>132</v>
      </c>
      <c r="G351" s="1">
        <v>26.181961805555598</v>
      </c>
      <c r="H351" s="1">
        <v>0.6875</v>
      </c>
      <c r="I351" s="1">
        <v>0.77604166666666696</v>
      </c>
      <c r="J351" s="1">
        <v>8</v>
      </c>
      <c r="K351" s="1">
        <v>2009</v>
      </c>
      <c r="L351" s="1"/>
      <c r="M351" s="1">
        <v>0.6875</v>
      </c>
      <c r="N351" s="1">
        <v>0.6875</v>
      </c>
      <c r="O351" s="4">
        <f>(N351-N350)/N350</f>
        <v>-0.25000000000000022</v>
      </c>
      <c r="P351" s="2">
        <v>40030</v>
      </c>
      <c r="Q351" s="1">
        <v>28</v>
      </c>
      <c r="R351" s="1"/>
    </row>
    <row r="352" spans="1:18" x14ac:dyDescent="0.2">
      <c r="A352" s="3">
        <v>351</v>
      </c>
      <c r="B352" s="2">
        <v>40038</v>
      </c>
      <c r="C352" s="1">
        <v>0.21321995112867601</v>
      </c>
      <c r="D352" s="1">
        <v>0.21742465098698899</v>
      </c>
      <c r="E352" s="1">
        <v>192</v>
      </c>
      <c r="F352" s="1">
        <v>149</v>
      </c>
      <c r="G352" s="1">
        <v>26.28859375</v>
      </c>
      <c r="H352" s="1">
        <v>0.77604166666666696</v>
      </c>
      <c r="I352" s="1">
        <v>0.96875</v>
      </c>
      <c r="J352" s="1">
        <v>8</v>
      </c>
      <c r="K352" s="1">
        <v>2009</v>
      </c>
      <c r="L352" s="1"/>
      <c r="M352" s="1">
        <v>0.77604166666666696</v>
      </c>
      <c r="N352" s="1">
        <v>0.77604166666666696</v>
      </c>
      <c r="O352" s="1">
        <f>(N352-N351)/N351</f>
        <v>0.12878787878787923</v>
      </c>
      <c r="P352" s="2">
        <v>40038</v>
      </c>
      <c r="Q352" s="1">
        <v>29</v>
      </c>
      <c r="R352" s="1"/>
    </row>
    <row r="353" spans="1:18" x14ac:dyDescent="0.2">
      <c r="A353" s="3">
        <v>352</v>
      </c>
      <c r="B353" s="2">
        <v>40046</v>
      </c>
      <c r="C353" s="1">
        <v>0.18964210098766399</v>
      </c>
      <c r="D353" s="1">
        <v>0.20293480902910199</v>
      </c>
      <c r="E353" s="1">
        <v>192</v>
      </c>
      <c r="F353" s="1">
        <v>186</v>
      </c>
      <c r="G353" s="1">
        <v>26.297673611111101</v>
      </c>
      <c r="H353" s="1">
        <v>0.96875</v>
      </c>
      <c r="I353" s="1">
        <v>0.98958333333333304</v>
      </c>
      <c r="J353" s="1">
        <v>8</v>
      </c>
      <c r="K353" s="1">
        <v>2009</v>
      </c>
      <c r="L353" s="1">
        <v>0.96875</v>
      </c>
      <c r="N353" s="1">
        <v>0.96875</v>
      </c>
      <c r="O353" s="4">
        <f>(N353-N352)/N352</f>
        <v>0.24832214765100624</v>
      </c>
      <c r="P353" s="5">
        <v>40046</v>
      </c>
      <c r="Q353" s="1">
        <v>30</v>
      </c>
      <c r="R353" s="1"/>
    </row>
    <row r="354" spans="1:18" x14ac:dyDescent="0.2">
      <c r="A354" s="3">
        <v>353</v>
      </c>
      <c r="B354" s="2">
        <v>40054</v>
      </c>
      <c r="C354" s="1">
        <v>0.19290415335915001</v>
      </c>
      <c r="D354" s="1">
        <v>0.19588770220677101</v>
      </c>
      <c r="E354" s="1">
        <v>192</v>
      </c>
      <c r="F354" s="1">
        <v>190</v>
      </c>
      <c r="G354" s="1">
        <v>26.420086805555599</v>
      </c>
      <c r="H354" s="1">
        <v>0.98958333333333304</v>
      </c>
      <c r="I354" s="1">
        <v>0.94270833333333304</v>
      </c>
      <c r="J354" s="1">
        <v>8</v>
      </c>
      <c r="K354" s="1">
        <v>2009</v>
      </c>
      <c r="L354" s="1">
        <v>0.98958333333333304</v>
      </c>
      <c r="N354" s="1">
        <v>0.98958333333333304</v>
      </c>
      <c r="O354" s="1">
        <f>(N354-N353)/N353</f>
        <v>2.1505376344085714E-2</v>
      </c>
      <c r="P354" s="2">
        <v>40054</v>
      </c>
      <c r="Q354" s="1">
        <v>31</v>
      </c>
      <c r="R354" s="1"/>
    </row>
    <row r="355" spans="1:18" x14ac:dyDescent="0.2">
      <c r="A355" s="3">
        <v>354</v>
      </c>
      <c r="B355" s="2">
        <v>40062</v>
      </c>
      <c r="C355" s="1">
        <v>0.25619981187533197</v>
      </c>
      <c r="D355" s="1">
        <v>0.20483702719211599</v>
      </c>
      <c r="E355" s="1">
        <v>192</v>
      </c>
      <c r="F355" s="1">
        <v>181</v>
      </c>
      <c r="G355" s="1">
        <v>26.895190972222199</v>
      </c>
      <c r="H355" s="1">
        <v>0.94270833333333304</v>
      </c>
      <c r="I355" s="1">
        <v>0.97916666666666696</v>
      </c>
      <c r="J355" s="1">
        <v>9</v>
      </c>
      <c r="K355" s="1">
        <v>2009</v>
      </c>
      <c r="L355" s="1">
        <v>0.94270833333333304</v>
      </c>
      <c r="N355" s="1">
        <v>0.94270833333333304</v>
      </c>
      <c r="O355" s="1">
        <f>(N355-N354)/N354</f>
        <v>-4.7368421052631594E-2</v>
      </c>
      <c r="P355" s="2">
        <v>40062</v>
      </c>
      <c r="Q355" s="1">
        <v>32</v>
      </c>
      <c r="R355" s="1"/>
    </row>
    <row r="356" spans="1:18" x14ac:dyDescent="0.2">
      <c r="A356" s="3">
        <v>355</v>
      </c>
      <c r="B356" s="2">
        <v>40070</v>
      </c>
      <c r="C356" s="1">
        <v>0.18344167784033799</v>
      </c>
      <c r="D356" s="1">
        <v>0.17019645373026501</v>
      </c>
      <c r="E356" s="1">
        <v>192</v>
      </c>
      <c r="F356" s="1">
        <v>188</v>
      </c>
      <c r="G356" s="1">
        <v>27.488767361111101</v>
      </c>
      <c r="H356" s="1">
        <v>0.97916666666666696</v>
      </c>
      <c r="I356" s="1">
        <v>1</v>
      </c>
      <c r="J356" s="1">
        <v>9</v>
      </c>
      <c r="K356" s="1">
        <v>2009</v>
      </c>
      <c r="L356" s="1">
        <v>0.97916666666666696</v>
      </c>
      <c r="N356" s="1">
        <v>0.97916666666666696</v>
      </c>
      <c r="O356" s="1">
        <f>(N356-N355)/N355</f>
        <v>3.8674033149171914E-2</v>
      </c>
      <c r="P356" s="2">
        <v>40070</v>
      </c>
      <c r="Q356" s="1">
        <v>33</v>
      </c>
      <c r="R356" s="1"/>
    </row>
    <row r="357" spans="1:18" x14ac:dyDescent="0.2">
      <c r="A357" s="3">
        <v>356</v>
      </c>
      <c r="B357" s="2">
        <v>40078</v>
      </c>
      <c r="C357" s="1">
        <v>0.13988065754873499</v>
      </c>
      <c r="D357" s="1">
        <v>0.12397336090604499</v>
      </c>
      <c r="E357" s="1">
        <v>192</v>
      </c>
      <c r="F357" s="1">
        <v>192</v>
      </c>
      <c r="G357" s="1">
        <v>27.897048611111099</v>
      </c>
      <c r="H357" s="1">
        <v>1</v>
      </c>
      <c r="I357" s="1">
        <v>1</v>
      </c>
      <c r="J357" s="1">
        <v>9</v>
      </c>
      <c r="K357" s="1">
        <v>2009</v>
      </c>
      <c r="L357" s="1">
        <v>1</v>
      </c>
      <c r="N357" s="1">
        <v>1</v>
      </c>
      <c r="O357" s="1">
        <f>(N357-N356)/N356</f>
        <v>2.1276595744680542E-2</v>
      </c>
      <c r="P357" s="2">
        <v>40078</v>
      </c>
      <c r="Q357" s="1">
        <v>34</v>
      </c>
      <c r="R357" s="1"/>
    </row>
    <row r="358" spans="1:18" x14ac:dyDescent="0.2">
      <c r="A358" s="3">
        <v>357</v>
      </c>
      <c r="B358" s="2">
        <v>40086</v>
      </c>
      <c r="C358" s="1">
        <v>0.14043407686627801</v>
      </c>
      <c r="D358" s="1">
        <v>0.124771529436111</v>
      </c>
      <c r="E358" s="1">
        <v>192</v>
      </c>
      <c r="F358" s="1">
        <v>192</v>
      </c>
      <c r="G358" s="1">
        <v>27.952187500000001</v>
      </c>
      <c r="H358" s="1">
        <v>1</v>
      </c>
      <c r="I358" s="1">
        <v>0.88541666666666696</v>
      </c>
      <c r="J358" s="1">
        <v>9</v>
      </c>
      <c r="K358" s="1">
        <v>2009</v>
      </c>
      <c r="L358" s="1">
        <v>1</v>
      </c>
      <c r="N358" s="1">
        <v>1</v>
      </c>
      <c r="O358" s="1">
        <f>(N358-N357)/N357</f>
        <v>0</v>
      </c>
      <c r="P358" s="2">
        <v>40086</v>
      </c>
      <c r="Q358" s="1">
        <v>35</v>
      </c>
      <c r="R358" s="1"/>
    </row>
    <row r="359" spans="1:18" x14ac:dyDescent="0.2">
      <c r="A359" s="3">
        <v>358</v>
      </c>
      <c r="B359" s="5">
        <v>40094</v>
      </c>
      <c r="C359" s="1">
        <v>0.19964094019335901</v>
      </c>
      <c r="D359" s="1">
        <v>0.20236782729625699</v>
      </c>
      <c r="E359" s="1">
        <v>192</v>
      </c>
      <c r="F359" s="1">
        <v>170</v>
      </c>
      <c r="G359" s="1">
        <v>28.499652777777801</v>
      </c>
      <c r="H359" s="1">
        <v>0.88541666666666696</v>
      </c>
      <c r="I359" s="1">
        <v>5.2083333333333301E-2</v>
      </c>
      <c r="J359" s="1">
        <v>10</v>
      </c>
      <c r="K359" s="1">
        <v>2009</v>
      </c>
      <c r="L359" s="1">
        <v>0.88541666666666696</v>
      </c>
      <c r="N359" s="1">
        <v>0.88541666666666696</v>
      </c>
      <c r="O359" s="1">
        <f>(N359-N358)/N358</f>
        <v>-0.11458333333333304</v>
      </c>
      <c r="P359" s="5">
        <v>40094</v>
      </c>
      <c r="Q359" s="1">
        <v>36</v>
      </c>
      <c r="R359" s="1"/>
    </row>
    <row r="360" spans="1:18" x14ac:dyDescent="0.2">
      <c r="A360" s="3">
        <v>359</v>
      </c>
      <c r="B360" s="2">
        <v>40102</v>
      </c>
      <c r="C360" s="1">
        <v>0.155419543077042</v>
      </c>
      <c r="D360" s="1">
        <v>0.15129102170467401</v>
      </c>
      <c r="E360" s="1">
        <v>192</v>
      </c>
      <c r="F360" s="1">
        <v>10</v>
      </c>
      <c r="G360" s="1">
        <v>28.674947916666699</v>
      </c>
      <c r="H360" s="1">
        <v>5.2083333333333301E-2</v>
      </c>
      <c r="I360" s="1">
        <v>0.24404761904761901</v>
      </c>
      <c r="J360" s="1">
        <v>10</v>
      </c>
      <c r="K360" s="1">
        <v>2009</v>
      </c>
      <c r="L360" s="1"/>
      <c r="M360" s="1">
        <v>5.2083333333333301E-2</v>
      </c>
      <c r="N360" s="1">
        <v>5.2083333333333301E-2</v>
      </c>
      <c r="O360" s="4">
        <f>(N360-N359)/N359</f>
        <v>-0.94117647058823539</v>
      </c>
      <c r="P360" s="2">
        <v>40102</v>
      </c>
      <c r="Q360" s="1">
        <v>37</v>
      </c>
      <c r="R360" s="1"/>
    </row>
    <row r="361" spans="1:18" x14ac:dyDescent="0.2">
      <c r="A361" s="3">
        <v>360</v>
      </c>
      <c r="B361" s="2">
        <v>40110</v>
      </c>
      <c r="C361" s="1">
        <v>0.138639473682269</v>
      </c>
      <c r="D361" s="1">
        <v>0.13464025408029601</v>
      </c>
      <c r="E361" s="1">
        <v>168</v>
      </c>
      <c r="F361" s="1">
        <v>41</v>
      </c>
      <c r="G361" s="1">
        <v>28.534583333333298</v>
      </c>
      <c r="H361" s="1">
        <v>0.24404761904761901</v>
      </c>
      <c r="I361" s="1">
        <v>4.1666666666666699E-2</v>
      </c>
      <c r="J361" s="1">
        <v>10</v>
      </c>
      <c r="K361" s="1">
        <v>2009</v>
      </c>
      <c r="L361" s="1"/>
      <c r="M361" s="1">
        <v>0.24404761904761901</v>
      </c>
      <c r="N361" s="1">
        <v>0.24404761904761901</v>
      </c>
      <c r="O361" s="1">
        <f>(N361-N360)/N360</f>
        <v>3.6857142857142877</v>
      </c>
      <c r="P361" s="2">
        <v>40110</v>
      </c>
      <c r="Q361" s="1">
        <v>38</v>
      </c>
      <c r="R361" s="1"/>
    </row>
    <row r="362" spans="1:18" x14ac:dyDescent="0.2">
      <c r="A362" s="3">
        <v>361</v>
      </c>
      <c r="B362" s="2">
        <v>40118</v>
      </c>
      <c r="C362" s="1">
        <v>0.14383497337500301</v>
      </c>
      <c r="D362" s="1" t="s">
        <v>0</v>
      </c>
      <c r="E362" s="1">
        <v>192</v>
      </c>
      <c r="F362" s="1">
        <v>8</v>
      </c>
      <c r="G362" s="1">
        <v>28.1070833333333</v>
      </c>
      <c r="H362" s="1">
        <v>4.1666666666666699E-2</v>
      </c>
      <c r="I362" s="1">
        <v>0.16666666666666699</v>
      </c>
      <c r="J362" s="1">
        <v>11</v>
      </c>
      <c r="K362" s="1">
        <v>2009</v>
      </c>
      <c r="L362" s="1"/>
      <c r="M362" s="1">
        <v>4.1666666666666699E-2</v>
      </c>
      <c r="N362" s="1">
        <v>4.1666666666666699E-2</v>
      </c>
      <c r="O362" s="1">
        <f>(N362-N361)/N361</f>
        <v>-0.82926829268292668</v>
      </c>
      <c r="P362" s="2">
        <v>40118</v>
      </c>
      <c r="Q362" s="1">
        <v>39</v>
      </c>
      <c r="R362" s="1"/>
    </row>
    <row r="363" spans="1:18" x14ac:dyDescent="0.2">
      <c r="A363" s="3">
        <v>362</v>
      </c>
      <c r="B363" s="2">
        <v>40126</v>
      </c>
      <c r="C363" s="1">
        <v>0.16117626157148901</v>
      </c>
      <c r="D363" s="1">
        <v>0.19237312922875099</v>
      </c>
      <c r="E363" s="1">
        <v>192</v>
      </c>
      <c r="F363" s="1">
        <v>32</v>
      </c>
      <c r="G363" s="1">
        <v>28.049149305555598</v>
      </c>
      <c r="H363" s="1">
        <v>0.16666666666666699</v>
      </c>
      <c r="I363" s="1">
        <v>6.25E-2</v>
      </c>
      <c r="J363" s="1">
        <v>11</v>
      </c>
      <c r="K363" s="1">
        <v>2009</v>
      </c>
      <c r="L363" s="1"/>
      <c r="M363" s="1">
        <v>0.16666666666666699</v>
      </c>
      <c r="N363" s="1">
        <v>0.16666666666666699</v>
      </c>
      <c r="O363" s="1">
        <f>(N363-N362)/N362</f>
        <v>3.0000000000000044</v>
      </c>
      <c r="P363" s="2">
        <v>40126</v>
      </c>
      <c r="Q363" s="1">
        <v>40</v>
      </c>
      <c r="R363" s="1"/>
    </row>
    <row r="364" spans="1:18" x14ac:dyDescent="0.2">
      <c r="A364" s="3">
        <v>363</v>
      </c>
      <c r="B364" s="2">
        <v>40134</v>
      </c>
      <c r="C364" s="1">
        <v>0.149505983487036</v>
      </c>
      <c r="D364" s="1">
        <v>0.147640645503998</v>
      </c>
      <c r="E364" s="1">
        <v>192</v>
      </c>
      <c r="F364" s="1">
        <v>12</v>
      </c>
      <c r="G364" s="1">
        <v>28.3913715277778</v>
      </c>
      <c r="H364" s="1">
        <v>6.25E-2</v>
      </c>
      <c r="I364" s="1">
        <v>1.5625E-2</v>
      </c>
      <c r="J364" s="1">
        <v>11</v>
      </c>
      <c r="K364" s="1">
        <v>2009</v>
      </c>
      <c r="L364" s="1"/>
      <c r="M364" s="1">
        <v>6.25E-2</v>
      </c>
      <c r="N364" s="1">
        <v>6.25E-2</v>
      </c>
      <c r="O364" s="1">
        <f>(N364-N363)/N363</f>
        <v>-0.62500000000000078</v>
      </c>
      <c r="P364" s="2">
        <v>40134</v>
      </c>
      <c r="Q364" s="1">
        <v>41</v>
      </c>
      <c r="R364" s="1"/>
    </row>
    <row r="365" spans="1:18" x14ac:dyDescent="0.2">
      <c r="A365" s="3">
        <v>364</v>
      </c>
      <c r="B365" s="2">
        <v>40142</v>
      </c>
      <c r="C365" s="1">
        <v>0.108563631552564</v>
      </c>
      <c r="D365" s="1">
        <v>9.8459427555402101E-2</v>
      </c>
      <c r="E365" s="1">
        <v>192</v>
      </c>
      <c r="F365" s="1">
        <v>3</v>
      </c>
      <c r="G365" s="1">
        <v>29.020156249999999</v>
      </c>
      <c r="H365" s="1">
        <v>1.5625E-2</v>
      </c>
      <c r="I365" s="1">
        <v>0</v>
      </c>
      <c r="J365" s="1">
        <v>11</v>
      </c>
      <c r="K365" s="1">
        <v>2009</v>
      </c>
      <c r="L365" s="1"/>
      <c r="M365" s="1">
        <v>1.5625E-2</v>
      </c>
      <c r="N365" s="1">
        <v>1.5625E-2</v>
      </c>
      <c r="O365" s="1">
        <f>(N365-N364)/N364</f>
        <v>-0.75</v>
      </c>
      <c r="P365" s="2">
        <v>40142</v>
      </c>
      <c r="Q365" s="1">
        <v>42</v>
      </c>
      <c r="R365" s="1"/>
    </row>
    <row r="366" spans="1:18" x14ac:dyDescent="0.2">
      <c r="A366" s="3">
        <v>365</v>
      </c>
      <c r="B366" s="2">
        <v>40150</v>
      </c>
      <c r="C366" s="1">
        <v>9.6957981817840794E-2</v>
      </c>
      <c r="D366" s="1">
        <v>7.7579189091920894E-2</v>
      </c>
      <c r="E366" s="1">
        <v>192</v>
      </c>
      <c r="F366" s="1">
        <v>0</v>
      </c>
      <c r="G366" s="1">
        <v>28.932638888888899</v>
      </c>
      <c r="H366" s="1">
        <v>0</v>
      </c>
      <c r="I366" s="1">
        <v>1.0416666666666701E-2</v>
      </c>
      <c r="J366" s="1">
        <v>12</v>
      </c>
      <c r="K366" s="1">
        <v>2009</v>
      </c>
      <c r="L366" s="1"/>
      <c r="M366" s="1">
        <v>1E-3</v>
      </c>
      <c r="N366" s="1">
        <v>1E-3</v>
      </c>
      <c r="O366" s="1">
        <f>(N366-N365)/N365</f>
        <v>-0.93599999999999994</v>
      </c>
      <c r="P366" s="2">
        <v>40150</v>
      </c>
      <c r="Q366" s="1">
        <v>43</v>
      </c>
      <c r="R366" s="1"/>
    </row>
    <row r="367" spans="1:18" x14ac:dyDescent="0.2">
      <c r="A367" s="3">
        <v>366</v>
      </c>
      <c r="B367" s="2">
        <v>40158</v>
      </c>
      <c r="C367" s="1">
        <v>8.6641865369130905E-2</v>
      </c>
      <c r="D367" s="1">
        <v>7.6821073889732402E-2</v>
      </c>
      <c r="E367" s="1">
        <v>192</v>
      </c>
      <c r="F367" s="1">
        <v>2</v>
      </c>
      <c r="G367" s="1">
        <v>29.023697916666698</v>
      </c>
      <c r="H367" s="1">
        <v>1.0416666666666701E-2</v>
      </c>
      <c r="I367" s="1">
        <v>0</v>
      </c>
      <c r="J367" s="1">
        <v>12</v>
      </c>
      <c r="K367" s="1">
        <v>2009</v>
      </c>
      <c r="L367" s="1"/>
      <c r="M367" s="1">
        <v>1.0416666666666701E-2</v>
      </c>
      <c r="N367" s="1">
        <v>1.0416666666666701E-2</v>
      </c>
      <c r="O367" s="1">
        <f>(N367-N366)/N366</f>
        <v>9.4166666666667016</v>
      </c>
      <c r="P367" s="2">
        <v>40158</v>
      </c>
      <c r="Q367" s="1">
        <v>44</v>
      </c>
      <c r="R367" s="1"/>
    </row>
    <row r="368" spans="1:18" x14ac:dyDescent="0.2">
      <c r="A368" s="3">
        <v>367</v>
      </c>
      <c r="B368" s="2">
        <v>40166</v>
      </c>
      <c r="C368" s="1">
        <v>7.0255891730388001E-2</v>
      </c>
      <c r="D368" s="1">
        <v>5.2060948063929899E-2</v>
      </c>
      <c r="E368" s="1">
        <v>192</v>
      </c>
      <c r="F368" s="1">
        <v>0</v>
      </c>
      <c r="G368" s="1">
        <v>29.0196875</v>
      </c>
      <c r="H368" s="1">
        <v>0</v>
      </c>
      <c r="I368" s="1">
        <v>0</v>
      </c>
      <c r="J368" s="1">
        <v>12</v>
      </c>
      <c r="K368" s="1">
        <v>2009</v>
      </c>
      <c r="L368" s="1"/>
      <c r="M368" s="1">
        <v>1E-3</v>
      </c>
      <c r="N368" s="1">
        <v>1E-3</v>
      </c>
      <c r="O368" s="1">
        <f>(N368-N367)/N367</f>
        <v>-0.90400000000000036</v>
      </c>
      <c r="P368" s="2">
        <v>40166</v>
      </c>
      <c r="Q368" s="1">
        <v>45</v>
      </c>
      <c r="R368" s="1"/>
    </row>
    <row r="369" spans="1:18" x14ac:dyDescent="0.2">
      <c r="A369" s="3">
        <v>368</v>
      </c>
      <c r="B369" s="2">
        <v>40174</v>
      </c>
      <c r="C369" s="1">
        <v>8.7883342305819206E-2</v>
      </c>
      <c r="D369" s="1" t="s">
        <v>0</v>
      </c>
      <c r="E369" s="1">
        <v>120</v>
      </c>
      <c r="F369" s="1">
        <v>0</v>
      </c>
      <c r="G369" s="1">
        <v>28.7220277777778</v>
      </c>
      <c r="H369" s="1">
        <v>0</v>
      </c>
      <c r="I369" s="1">
        <v>5.2110474205315296E-3</v>
      </c>
      <c r="J369" s="1">
        <v>12</v>
      </c>
      <c r="K369" s="1">
        <v>2009</v>
      </c>
      <c r="L369" s="1"/>
      <c r="M369" s="1">
        <v>1E-3</v>
      </c>
      <c r="N369" s="1">
        <v>1E-3</v>
      </c>
      <c r="O369" s="1">
        <f>(N369-N368)/N368</f>
        <v>0</v>
      </c>
      <c r="P369" s="2">
        <v>40174</v>
      </c>
      <c r="Q369" s="1">
        <v>46</v>
      </c>
      <c r="R369" s="1"/>
    </row>
    <row r="370" spans="1:18" x14ac:dyDescent="0.2">
      <c r="A370" s="3">
        <v>369</v>
      </c>
      <c r="B370" s="2">
        <v>40179</v>
      </c>
      <c r="C370" s="1">
        <v>0.100202275891053</v>
      </c>
      <c r="D370" s="1">
        <v>7.7858457962671906E-2</v>
      </c>
      <c r="E370" s="1">
        <v>191.9</v>
      </c>
      <c r="F370" s="1">
        <v>1</v>
      </c>
      <c r="G370" s="1">
        <v>28.3113541666667</v>
      </c>
      <c r="H370" s="1">
        <v>5.2110474205315296E-3</v>
      </c>
      <c r="I370" s="1">
        <v>1.0416666666666701E-2</v>
      </c>
      <c r="J370" s="1">
        <v>1</v>
      </c>
      <c r="K370" s="1">
        <v>2010</v>
      </c>
      <c r="L370" s="1"/>
      <c r="M370" s="1">
        <v>5.2110474205315296E-3</v>
      </c>
      <c r="N370" s="1">
        <v>5.2110474205315296E-3</v>
      </c>
      <c r="O370" s="1">
        <f>(N370-N369)/N369</f>
        <v>4.2110474205315294</v>
      </c>
      <c r="P370" s="2">
        <v>40179</v>
      </c>
      <c r="Q370" s="1">
        <v>1</v>
      </c>
      <c r="R370" s="1"/>
    </row>
    <row r="371" spans="1:18" x14ac:dyDescent="0.2">
      <c r="A371" s="3">
        <v>370</v>
      </c>
      <c r="B371" s="2">
        <v>40187</v>
      </c>
      <c r="C371" s="1">
        <v>0.149239620010198</v>
      </c>
      <c r="D371" s="1">
        <v>0.144687920808792</v>
      </c>
      <c r="E371" s="1">
        <v>192</v>
      </c>
      <c r="F371" s="1">
        <v>2</v>
      </c>
      <c r="G371" s="1">
        <v>28.309565972222199</v>
      </c>
      <c r="H371" s="1">
        <v>1.0416666666666701E-2</v>
      </c>
      <c r="I371" s="1">
        <v>2.963841138115E-2</v>
      </c>
      <c r="J371" s="1">
        <v>1</v>
      </c>
      <c r="K371" s="1">
        <v>2010</v>
      </c>
      <c r="L371" s="1"/>
      <c r="M371" s="1">
        <v>1.0416666666666701E-2</v>
      </c>
      <c r="N371" s="1">
        <v>1.0416666666666701E-2</v>
      </c>
      <c r="O371" s="1">
        <f>(N371-N370)/N370</f>
        <v>0.99895833333333883</v>
      </c>
      <c r="P371" s="2">
        <v>40187</v>
      </c>
      <c r="Q371" s="1">
        <v>2</v>
      </c>
      <c r="R371" s="1"/>
    </row>
    <row r="372" spans="1:18" x14ac:dyDescent="0.2">
      <c r="A372" s="3">
        <v>371</v>
      </c>
      <c r="B372" s="2">
        <v>40195</v>
      </c>
      <c r="C372" s="1">
        <v>0.13602088542566401</v>
      </c>
      <c r="D372" s="1">
        <v>0.120704791198174</v>
      </c>
      <c r="E372" s="1">
        <v>168.7</v>
      </c>
      <c r="F372" s="1">
        <v>5</v>
      </c>
      <c r="G372" s="1">
        <v>28.514774305555601</v>
      </c>
      <c r="H372" s="1">
        <v>2.963841138115E-2</v>
      </c>
      <c r="I372" s="1">
        <v>1.5625E-2</v>
      </c>
      <c r="J372" s="1">
        <v>1</v>
      </c>
      <c r="K372" s="1">
        <v>2010</v>
      </c>
      <c r="L372" s="1"/>
      <c r="M372" s="1">
        <v>2.963841138115E-2</v>
      </c>
      <c r="N372" s="1">
        <v>2.963841138115E-2</v>
      </c>
      <c r="O372" s="1">
        <f>(N372-N371)/N371</f>
        <v>1.8452874925903906</v>
      </c>
      <c r="P372" s="2">
        <v>40195</v>
      </c>
      <c r="Q372" s="1">
        <v>3</v>
      </c>
      <c r="R372" s="1"/>
    </row>
    <row r="373" spans="1:18" x14ac:dyDescent="0.2">
      <c r="A373" s="3">
        <v>372</v>
      </c>
      <c r="B373" s="2">
        <v>40203</v>
      </c>
      <c r="C373" s="1">
        <v>0.136340728488521</v>
      </c>
      <c r="D373" s="1">
        <v>0.121338851749897</v>
      </c>
      <c r="E373" s="1">
        <v>192</v>
      </c>
      <c r="F373" s="1">
        <v>3</v>
      </c>
      <c r="G373" s="1">
        <v>28.820486111111101</v>
      </c>
      <c r="H373" s="1">
        <v>1.5625E-2</v>
      </c>
      <c r="I373" s="1">
        <v>0</v>
      </c>
      <c r="J373" s="1">
        <v>1</v>
      </c>
      <c r="K373" s="1">
        <v>2010</v>
      </c>
      <c r="L373" s="1"/>
      <c r="M373" s="1">
        <v>1.5625E-2</v>
      </c>
      <c r="N373" s="1">
        <v>1.5625E-2</v>
      </c>
      <c r="O373" s="1">
        <f>(N373-N372)/N372</f>
        <v>-0.47281250000000052</v>
      </c>
      <c r="P373" s="2">
        <v>40203</v>
      </c>
      <c r="Q373" s="1">
        <v>4</v>
      </c>
      <c r="R373" s="1"/>
    </row>
    <row r="374" spans="1:18" x14ac:dyDescent="0.2">
      <c r="A374" s="3">
        <v>373</v>
      </c>
      <c r="B374" s="2">
        <v>40211</v>
      </c>
      <c r="C374" s="1">
        <v>0.12104428690491301</v>
      </c>
      <c r="D374" s="1">
        <v>0.11252718294660299</v>
      </c>
      <c r="E374" s="1">
        <v>192</v>
      </c>
      <c r="F374" s="1">
        <v>0</v>
      </c>
      <c r="G374" s="1">
        <v>28.9165104166667</v>
      </c>
      <c r="H374" s="1">
        <v>0</v>
      </c>
      <c r="I374" s="1">
        <v>4.1666666666666699E-2</v>
      </c>
      <c r="J374" s="1">
        <v>2</v>
      </c>
      <c r="K374" s="1">
        <v>2010</v>
      </c>
      <c r="L374" s="1"/>
      <c r="M374" s="1">
        <v>1E-3</v>
      </c>
      <c r="N374" s="1">
        <v>1E-3</v>
      </c>
      <c r="O374" s="1">
        <f>(N374-N373)/N373</f>
        <v>-0.93599999999999994</v>
      </c>
      <c r="P374" s="2">
        <v>40211</v>
      </c>
      <c r="Q374" s="1">
        <v>5</v>
      </c>
      <c r="R374" s="1"/>
    </row>
    <row r="375" spans="1:18" x14ac:dyDescent="0.2">
      <c r="A375" s="3">
        <v>374</v>
      </c>
      <c r="B375" s="2">
        <v>40219</v>
      </c>
      <c r="C375" s="1">
        <v>0.114402670864806</v>
      </c>
      <c r="D375" s="1">
        <v>0.104154981672764</v>
      </c>
      <c r="E375" s="1">
        <v>192</v>
      </c>
      <c r="F375" s="1">
        <v>8</v>
      </c>
      <c r="G375" s="1">
        <v>28.983263888888899</v>
      </c>
      <c r="H375" s="1">
        <v>4.1666666666666699E-2</v>
      </c>
      <c r="I375" s="1">
        <v>2.6041666666666699E-2</v>
      </c>
      <c r="J375" s="1">
        <v>2</v>
      </c>
      <c r="K375" s="1">
        <v>2010</v>
      </c>
      <c r="L375" s="1"/>
      <c r="M375" s="1">
        <v>4.1666666666666699E-2</v>
      </c>
      <c r="N375" s="1">
        <v>4.1666666666666699E-2</v>
      </c>
      <c r="O375" s="1">
        <f>(N375-N374)/N374</f>
        <v>40.6666666666667</v>
      </c>
      <c r="P375" s="2">
        <v>40219</v>
      </c>
      <c r="Q375" s="1">
        <v>6</v>
      </c>
      <c r="R375" s="1"/>
    </row>
    <row r="376" spans="1:18" x14ac:dyDescent="0.2">
      <c r="A376" s="3">
        <v>375</v>
      </c>
      <c r="B376" s="2">
        <v>40227</v>
      </c>
      <c r="C376" s="1">
        <v>0.11515604387197299</v>
      </c>
      <c r="D376" s="1">
        <v>0.112694144248962</v>
      </c>
      <c r="E376" s="1">
        <v>192</v>
      </c>
      <c r="F376" s="1">
        <v>5</v>
      </c>
      <c r="G376" s="1">
        <v>29.256059027777798</v>
      </c>
      <c r="H376" s="1">
        <v>2.6041666666666699E-2</v>
      </c>
      <c r="I376" s="1">
        <v>1.0416666666666701E-2</v>
      </c>
      <c r="J376" s="1">
        <v>2</v>
      </c>
      <c r="K376" s="1">
        <v>2010</v>
      </c>
      <c r="L376" s="1"/>
      <c r="M376" s="1">
        <v>2.6041666666666699E-2</v>
      </c>
      <c r="N376" s="1">
        <v>2.6041666666666699E-2</v>
      </c>
      <c r="O376" s="1">
        <f>(N376-N375)/N375</f>
        <v>-0.37499999999999972</v>
      </c>
      <c r="P376" s="2">
        <v>40227</v>
      </c>
      <c r="Q376" s="1">
        <v>7</v>
      </c>
      <c r="R376" s="1"/>
    </row>
    <row r="377" spans="1:18" x14ac:dyDescent="0.2">
      <c r="A377" s="3">
        <v>376</v>
      </c>
      <c r="B377" s="2">
        <v>40235</v>
      </c>
      <c r="C377" s="1">
        <v>8.2981068719873E-2</v>
      </c>
      <c r="D377" s="1">
        <v>9.0927564849456105E-2</v>
      </c>
      <c r="E377" s="1">
        <v>192</v>
      </c>
      <c r="F377" s="1">
        <v>2</v>
      </c>
      <c r="G377" s="1">
        <v>29.459895833333299</v>
      </c>
      <c r="H377" s="1">
        <v>1.0416666666666701E-2</v>
      </c>
      <c r="I377" s="1">
        <v>1.0416666666666701E-2</v>
      </c>
      <c r="J377" s="1">
        <v>2</v>
      </c>
      <c r="K377" s="1">
        <v>2010</v>
      </c>
      <c r="L377" s="1"/>
      <c r="M377" s="1">
        <v>1.0416666666666701E-2</v>
      </c>
      <c r="N377" s="1">
        <v>1.0416666666666701E-2</v>
      </c>
      <c r="O377" s="1">
        <f>(N377-N376)/N376</f>
        <v>-0.5999999999999992</v>
      </c>
      <c r="P377" s="2">
        <v>40235</v>
      </c>
      <c r="Q377" s="1">
        <v>8</v>
      </c>
      <c r="R377" s="1"/>
    </row>
    <row r="378" spans="1:18" x14ac:dyDescent="0.2">
      <c r="A378" s="3">
        <v>377</v>
      </c>
      <c r="B378" s="2">
        <v>40243</v>
      </c>
      <c r="C378" s="1">
        <v>0.111224628819605</v>
      </c>
      <c r="D378" s="1">
        <v>0.102162429442008</v>
      </c>
      <c r="E378" s="1">
        <v>192</v>
      </c>
      <c r="F378" s="1">
        <v>2</v>
      </c>
      <c r="G378" s="1">
        <v>29.853159722222198</v>
      </c>
      <c r="H378" s="1">
        <v>1.0416666666666701E-2</v>
      </c>
      <c r="I378" s="1">
        <v>5.2192066805845502E-3</v>
      </c>
      <c r="J378" s="1">
        <v>3</v>
      </c>
      <c r="K378" s="1">
        <v>2010</v>
      </c>
      <c r="L378" s="1"/>
      <c r="M378" s="1">
        <v>1.0416666666666701E-2</v>
      </c>
      <c r="N378" s="1">
        <v>1.0416666666666701E-2</v>
      </c>
      <c r="O378" s="1">
        <f>(N378-N377)/N377</f>
        <v>0</v>
      </c>
      <c r="P378" s="2">
        <v>40243</v>
      </c>
      <c r="Q378" s="1">
        <v>9</v>
      </c>
      <c r="R378" s="1"/>
    </row>
    <row r="379" spans="1:18" x14ac:dyDescent="0.2">
      <c r="A379" s="3">
        <v>378</v>
      </c>
      <c r="B379" s="2">
        <v>40251</v>
      </c>
      <c r="C379" s="1">
        <v>9.0728275775468603E-2</v>
      </c>
      <c r="D379" s="1">
        <v>8.3335421979427296E-2</v>
      </c>
      <c r="E379" s="1">
        <v>191.6</v>
      </c>
      <c r="F379" s="1">
        <v>1</v>
      </c>
      <c r="G379" s="1">
        <v>30.111024305555599</v>
      </c>
      <c r="H379" s="1">
        <v>5.2192066805845502E-3</v>
      </c>
      <c r="I379" s="1">
        <v>5.3533190578158498E-3</v>
      </c>
      <c r="J379" s="1">
        <v>3</v>
      </c>
      <c r="K379" s="1">
        <v>2010</v>
      </c>
      <c r="L379" s="1"/>
      <c r="M379" s="1">
        <v>5.2192066805845502E-3</v>
      </c>
      <c r="N379" s="1">
        <v>5.2192066805845502E-3</v>
      </c>
      <c r="O379" s="1">
        <f>(N379-N378)/N378</f>
        <v>-0.49895615866388482</v>
      </c>
      <c r="P379" s="2">
        <v>40251</v>
      </c>
      <c r="Q379" s="1">
        <v>10</v>
      </c>
      <c r="R379" s="1"/>
    </row>
    <row r="380" spans="1:18" x14ac:dyDescent="0.2">
      <c r="A380" s="3">
        <v>379</v>
      </c>
      <c r="B380" s="2">
        <v>40259</v>
      </c>
      <c r="C380" s="1">
        <v>0.10118194867923801</v>
      </c>
      <c r="D380" s="1">
        <v>8.3326978608965901E-2</v>
      </c>
      <c r="E380" s="1">
        <v>186.8</v>
      </c>
      <c r="F380" s="1">
        <v>1</v>
      </c>
      <c r="G380" s="1">
        <v>30.071493055555599</v>
      </c>
      <c r="H380" s="1">
        <v>5.3533190578158498E-3</v>
      </c>
      <c r="I380" s="1">
        <v>5.2083333333333296E-3</v>
      </c>
      <c r="J380" s="1">
        <v>3</v>
      </c>
      <c r="K380" s="1">
        <v>2010</v>
      </c>
      <c r="L380" s="1"/>
      <c r="M380" s="1">
        <v>5.3533190578158498E-3</v>
      </c>
      <c r="N380" s="1">
        <v>5.3533190578158498E-3</v>
      </c>
      <c r="O380" s="1">
        <f>(N380-N379)/N379</f>
        <v>2.569593147751701E-2</v>
      </c>
      <c r="P380" s="2">
        <v>40259</v>
      </c>
      <c r="Q380" s="1">
        <v>11</v>
      </c>
      <c r="R380" s="1"/>
    </row>
    <row r="381" spans="1:18" x14ac:dyDescent="0.2">
      <c r="A381" s="3">
        <v>380</v>
      </c>
      <c r="B381" s="2">
        <v>40267</v>
      </c>
      <c r="C381" s="1">
        <v>9.7515236872893096E-2</v>
      </c>
      <c r="D381" s="1">
        <v>9.2120842387278898E-2</v>
      </c>
      <c r="E381" s="1">
        <v>192</v>
      </c>
      <c r="F381" s="1">
        <v>1</v>
      </c>
      <c r="G381" s="1">
        <v>29.9288194444444</v>
      </c>
      <c r="H381" s="1">
        <v>5.2083333333333296E-3</v>
      </c>
      <c r="I381" s="1">
        <v>5.2083333333333296E-3</v>
      </c>
      <c r="J381" s="1">
        <v>3</v>
      </c>
      <c r="K381" s="1">
        <v>2010</v>
      </c>
      <c r="L381" s="1"/>
      <c r="M381" s="1">
        <v>5.2083333333333296E-3</v>
      </c>
      <c r="N381" s="1">
        <v>5.2083333333333296E-3</v>
      </c>
      <c r="O381" s="1">
        <f>(N381-N380)/N380</f>
        <v>-2.708333333333476E-2</v>
      </c>
      <c r="P381" s="2">
        <v>40267</v>
      </c>
      <c r="Q381" s="1">
        <v>12</v>
      </c>
      <c r="R381" s="1"/>
    </row>
    <row r="382" spans="1:18" x14ac:dyDescent="0.2">
      <c r="A382" s="3">
        <v>381</v>
      </c>
      <c r="B382" s="2">
        <v>40275</v>
      </c>
      <c r="C382" s="1">
        <v>0.101475721632941</v>
      </c>
      <c r="D382" s="1">
        <v>8.9989441136519105E-2</v>
      </c>
      <c r="E382" s="1">
        <v>192</v>
      </c>
      <c r="F382" s="1">
        <v>1</v>
      </c>
      <c r="G382" s="1">
        <v>29.8914930555556</v>
      </c>
      <c r="H382" s="1">
        <v>5.2083333333333296E-3</v>
      </c>
      <c r="I382" s="1">
        <v>0</v>
      </c>
      <c r="J382" s="1">
        <v>4</v>
      </c>
      <c r="K382" s="1">
        <v>2010</v>
      </c>
      <c r="L382" s="1"/>
      <c r="M382" s="1">
        <v>5.2083333333333296E-3</v>
      </c>
      <c r="N382" s="1">
        <v>5.2083333333333296E-3</v>
      </c>
      <c r="O382" s="1">
        <f>(N382-N381)/N381</f>
        <v>0</v>
      </c>
      <c r="P382" s="2">
        <v>40275</v>
      </c>
      <c r="Q382" s="1">
        <v>13</v>
      </c>
      <c r="R382" s="1"/>
    </row>
    <row r="383" spans="1:18" x14ac:dyDescent="0.2">
      <c r="A383" s="3">
        <v>382</v>
      </c>
      <c r="B383" s="2">
        <v>40283</v>
      </c>
      <c r="C383" s="1">
        <v>0.12651355478626</v>
      </c>
      <c r="D383" s="1">
        <v>0.105589435746272</v>
      </c>
      <c r="E383" s="1">
        <v>192</v>
      </c>
      <c r="F383" s="1">
        <v>0</v>
      </c>
      <c r="G383" s="1">
        <v>29.4763194444444</v>
      </c>
      <c r="H383" s="1">
        <v>0</v>
      </c>
      <c r="I383" s="1">
        <v>0</v>
      </c>
      <c r="J383" s="1">
        <v>4</v>
      </c>
      <c r="K383" s="1">
        <v>2010</v>
      </c>
      <c r="L383" s="1"/>
      <c r="M383" s="1">
        <v>1E-3</v>
      </c>
      <c r="N383" s="1">
        <v>1E-3</v>
      </c>
      <c r="O383" s="1">
        <f>(N383-N382)/N382</f>
        <v>-0.80799999999999983</v>
      </c>
      <c r="P383" s="2">
        <v>40283</v>
      </c>
      <c r="Q383" s="1">
        <v>14</v>
      </c>
      <c r="R383" s="1"/>
    </row>
    <row r="384" spans="1:18" x14ac:dyDescent="0.2">
      <c r="A384" s="3">
        <v>383</v>
      </c>
      <c r="B384" s="2">
        <v>40291</v>
      </c>
      <c r="C384" s="1">
        <v>0.13099481604067501</v>
      </c>
      <c r="D384" s="1">
        <v>0.118048387269179</v>
      </c>
      <c r="E384" s="1">
        <v>192</v>
      </c>
      <c r="F384" s="1">
        <v>0</v>
      </c>
      <c r="G384" s="1">
        <v>29.133767361111101</v>
      </c>
      <c r="H384" s="1">
        <v>0</v>
      </c>
      <c r="I384" s="1" t="s">
        <v>0</v>
      </c>
      <c r="J384" s="1">
        <v>4</v>
      </c>
      <c r="K384" s="1">
        <v>2010</v>
      </c>
      <c r="L384" s="1"/>
      <c r="M384" s="1">
        <v>1E-3</v>
      </c>
      <c r="N384" s="1">
        <v>1E-3</v>
      </c>
      <c r="O384" s="1">
        <f>(N384-N383)/N383</f>
        <v>0</v>
      </c>
      <c r="P384" s="2">
        <v>40291</v>
      </c>
      <c r="Q384" s="1">
        <v>15</v>
      </c>
      <c r="R384" s="1"/>
    </row>
    <row r="385" spans="1:18" x14ac:dyDescent="0.2">
      <c r="A385" s="3">
        <v>384</v>
      </c>
      <c r="B385" s="2">
        <v>40299</v>
      </c>
      <c r="C385" s="1">
        <v>0.12713045634749101</v>
      </c>
      <c r="D385" s="1">
        <v>0.112470215807358</v>
      </c>
      <c r="E385" s="1">
        <v>48.4</v>
      </c>
      <c r="F385" s="1">
        <v>2</v>
      </c>
      <c r="G385" s="1">
        <v>29.024374999999999</v>
      </c>
      <c r="H385" s="1" t="s">
        <v>0</v>
      </c>
      <c r="I385" s="1">
        <v>0.54011119936457497</v>
      </c>
      <c r="J385" s="1">
        <v>5</v>
      </c>
      <c r="K385" s="1">
        <v>2010</v>
      </c>
      <c r="L385" s="1"/>
      <c r="M385" s="1">
        <v>0</v>
      </c>
      <c r="N385" s="1">
        <v>0</v>
      </c>
      <c r="O385" s="1">
        <f>(N385-N384)/N384</f>
        <v>-1</v>
      </c>
      <c r="P385" s="2">
        <v>40299</v>
      </c>
      <c r="Q385" s="1">
        <v>16</v>
      </c>
      <c r="R385" s="1"/>
    </row>
    <row r="386" spans="1:18" x14ac:dyDescent="0.2">
      <c r="A386" s="3">
        <v>385</v>
      </c>
      <c r="B386" s="2">
        <v>40307</v>
      </c>
      <c r="C386" s="1">
        <v>0.149213693600937</v>
      </c>
      <c r="D386" s="1">
        <v>0.130302134901285</v>
      </c>
      <c r="E386" s="1">
        <v>125.9</v>
      </c>
      <c r="F386" s="1">
        <v>68</v>
      </c>
      <c r="G386" s="1">
        <v>28.719479166666702</v>
      </c>
      <c r="H386" s="1">
        <v>0.54011119936457497</v>
      </c>
      <c r="I386" s="1">
        <v>0.40021063717746203</v>
      </c>
      <c r="J386" s="1">
        <v>5</v>
      </c>
      <c r="K386" s="1">
        <v>2010</v>
      </c>
      <c r="L386" s="1"/>
      <c r="M386" s="1">
        <v>0.54011119936457497</v>
      </c>
      <c r="N386" s="1">
        <v>0.54011119936457497</v>
      </c>
      <c r="O386" s="1" t="e">
        <f>(N386-N385)/N385</f>
        <v>#DIV/0!</v>
      </c>
      <c r="P386" s="2">
        <v>40307</v>
      </c>
      <c r="Q386" s="1">
        <v>17</v>
      </c>
      <c r="R386" s="1"/>
    </row>
    <row r="387" spans="1:18" x14ac:dyDescent="0.2">
      <c r="A387" s="3">
        <v>386</v>
      </c>
      <c r="B387" s="2">
        <v>40315</v>
      </c>
      <c r="C387" s="1">
        <v>0.11033327535852901</v>
      </c>
      <c r="D387" s="1">
        <v>9.8077689607938098E-2</v>
      </c>
      <c r="E387" s="1">
        <v>189.9</v>
      </c>
      <c r="F387" s="1">
        <v>76</v>
      </c>
      <c r="G387" s="1">
        <v>28.1398784722222</v>
      </c>
      <c r="H387" s="1">
        <v>0.40021063717746203</v>
      </c>
      <c r="I387" s="1">
        <v>9.375E-2</v>
      </c>
      <c r="J387" s="1">
        <v>5</v>
      </c>
      <c r="K387" s="1">
        <v>2010</v>
      </c>
      <c r="L387" s="1"/>
      <c r="M387" s="1">
        <v>0.40021063717746203</v>
      </c>
      <c r="N387" s="1">
        <v>0.40021063717746203</v>
      </c>
      <c r="O387" s="1">
        <f>(N387-N386)/N386</f>
        <v>-0.25902177616702238</v>
      </c>
      <c r="P387" s="2">
        <v>40315</v>
      </c>
      <c r="Q387" s="1">
        <v>18</v>
      </c>
      <c r="R387" s="1"/>
    </row>
    <row r="388" spans="1:18" x14ac:dyDescent="0.2">
      <c r="A388" s="3">
        <v>387</v>
      </c>
      <c r="B388" s="2">
        <v>40323</v>
      </c>
      <c r="C388" s="1">
        <v>0.110209002644716</v>
      </c>
      <c r="D388" s="1">
        <v>9.8856500039498002E-2</v>
      </c>
      <c r="E388" s="1">
        <v>192</v>
      </c>
      <c r="F388" s="1">
        <v>18</v>
      </c>
      <c r="G388" s="1">
        <v>27.611371527777798</v>
      </c>
      <c r="H388" s="1">
        <v>9.375E-2</v>
      </c>
      <c r="I388" s="1">
        <v>5.2083333333333296E-3</v>
      </c>
      <c r="J388" s="1">
        <v>5</v>
      </c>
      <c r="K388" s="1">
        <v>2010</v>
      </c>
      <c r="L388" s="1"/>
      <c r="M388" s="1">
        <v>9.375E-2</v>
      </c>
      <c r="N388" s="1">
        <v>9.375E-2</v>
      </c>
      <c r="O388" s="1">
        <f>(N388-N387)/N387</f>
        <v>-0.76574835526315799</v>
      </c>
      <c r="P388" s="2">
        <v>40323</v>
      </c>
      <c r="Q388" s="1">
        <v>19</v>
      </c>
      <c r="R388" s="1"/>
    </row>
    <row r="389" spans="1:18" x14ac:dyDescent="0.2">
      <c r="A389" s="3">
        <v>388</v>
      </c>
      <c r="B389" s="2">
        <v>40331</v>
      </c>
      <c r="C389" s="1">
        <v>0.14428385846132799</v>
      </c>
      <c r="D389" s="1">
        <v>0.13372259090344099</v>
      </c>
      <c r="E389" s="1">
        <v>192</v>
      </c>
      <c r="F389" s="1">
        <v>1</v>
      </c>
      <c r="G389" s="1">
        <v>27.343263888888899</v>
      </c>
      <c r="H389" s="1">
        <v>5.2083333333333296E-3</v>
      </c>
      <c r="I389" s="1">
        <v>0.52604166666666696</v>
      </c>
      <c r="J389" s="1">
        <v>6</v>
      </c>
      <c r="K389" s="1">
        <v>2010</v>
      </c>
      <c r="L389" s="1"/>
      <c r="M389" s="1">
        <v>5.2083333333333296E-3</v>
      </c>
      <c r="N389" s="1">
        <v>5.2083333333333296E-3</v>
      </c>
      <c r="O389" s="1">
        <f>(N389-N388)/N388</f>
        <v>-0.94444444444444453</v>
      </c>
      <c r="P389" s="2">
        <v>40331</v>
      </c>
      <c r="Q389" s="1">
        <v>20</v>
      </c>
      <c r="R389" s="1"/>
    </row>
    <row r="390" spans="1:18" x14ac:dyDescent="0.2">
      <c r="A390" s="3">
        <v>389</v>
      </c>
      <c r="B390" s="2">
        <v>40339</v>
      </c>
      <c r="C390" s="1">
        <v>0.159464652545353</v>
      </c>
      <c r="D390" s="1">
        <v>0.144717519481977</v>
      </c>
      <c r="E390" s="1">
        <v>192</v>
      </c>
      <c r="F390" s="1">
        <v>101</v>
      </c>
      <c r="G390" s="1">
        <v>27.0251388888889</v>
      </c>
      <c r="H390" s="1">
        <v>0.52604166666666696</v>
      </c>
      <c r="I390" s="1">
        <v>0.38541666666666702</v>
      </c>
      <c r="J390" s="1">
        <v>6</v>
      </c>
      <c r="K390" s="1">
        <v>2010</v>
      </c>
      <c r="L390" s="1"/>
      <c r="M390" s="1">
        <v>0.52604166666666696</v>
      </c>
      <c r="N390" s="1">
        <v>0.52604166666666696</v>
      </c>
      <c r="O390" s="1">
        <f>(N390-N389)/N389</f>
        <v>100.00000000000013</v>
      </c>
      <c r="P390" s="2">
        <v>40339</v>
      </c>
      <c r="Q390" s="1">
        <v>21</v>
      </c>
      <c r="R390" s="1"/>
    </row>
    <row r="391" spans="1:18" x14ac:dyDescent="0.2">
      <c r="A391" s="3">
        <v>390</v>
      </c>
      <c r="B391" s="2">
        <v>40347</v>
      </c>
      <c r="C391" s="1">
        <v>0.19957824041379399</v>
      </c>
      <c r="D391" s="1">
        <v>0.17837910602490101</v>
      </c>
      <c r="E391" s="1">
        <v>192</v>
      </c>
      <c r="F391" s="1">
        <v>74</v>
      </c>
      <c r="G391" s="1">
        <v>26.977465277777799</v>
      </c>
      <c r="H391" s="1">
        <v>0.38541666666666702</v>
      </c>
      <c r="I391" s="1">
        <v>5.2083333333333296E-3</v>
      </c>
      <c r="J391" s="1">
        <v>6</v>
      </c>
      <c r="K391" s="1">
        <v>2010</v>
      </c>
      <c r="L391" s="1"/>
      <c r="M391" s="1">
        <v>0.38541666666666702</v>
      </c>
      <c r="N391" s="1">
        <v>0.38541666666666702</v>
      </c>
      <c r="O391" s="1">
        <f>(N391-N390)/N390</f>
        <v>-0.26732673267326706</v>
      </c>
      <c r="P391" s="2">
        <v>40347</v>
      </c>
      <c r="Q391" s="1">
        <v>22</v>
      </c>
      <c r="R391" s="1"/>
    </row>
    <row r="392" spans="1:18" x14ac:dyDescent="0.2">
      <c r="A392" s="3">
        <v>391</v>
      </c>
      <c r="B392" s="2">
        <v>40355</v>
      </c>
      <c r="C392" s="1">
        <v>0.28788206580827902</v>
      </c>
      <c r="D392" s="1">
        <v>0.36089519659678099</v>
      </c>
      <c r="E392" s="1">
        <v>192</v>
      </c>
      <c r="F392" s="1">
        <v>1</v>
      </c>
      <c r="G392" s="1">
        <v>26.971840277777801</v>
      </c>
      <c r="H392" s="1">
        <v>5.2083333333333296E-3</v>
      </c>
      <c r="I392" s="1">
        <v>0</v>
      </c>
      <c r="J392" s="1">
        <v>6</v>
      </c>
      <c r="K392" s="1">
        <v>2010</v>
      </c>
      <c r="L392" s="1"/>
      <c r="M392" s="1">
        <v>5.2083333333333296E-3</v>
      </c>
      <c r="N392" s="1">
        <v>5.2083333333333296E-3</v>
      </c>
      <c r="O392" s="1">
        <f>(N392-N391)/N391</f>
        <v>-0.98648648648648651</v>
      </c>
      <c r="P392" s="2">
        <v>40355</v>
      </c>
      <c r="Q392" s="1">
        <v>23</v>
      </c>
      <c r="R392" s="1"/>
    </row>
    <row r="393" spans="1:18" x14ac:dyDescent="0.2">
      <c r="A393" s="3">
        <v>392</v>
      </c>
      <c r="B393" s="2">
        <v>40363</v>
      </c>
      <c r="C393" s="1">
        <v>0.19776534381702801</v>
      </c>
      <c r="D393" s="1">
        <v>0.18698018292585999</v>
      </c>
      <c r="E393" s="1">
        <v>192</v>
      </c>
      <c r="F393" s="1">
        <v>0</v>
      </c>
      <c r="G393" s="1">
        <v>26.928524305555602</v>
      </c>
      <c r="H393" s="1">
        <v>0</v>
      </c>
      <c r="I393" s="1">
        <v>0</v>
      </c>
      <c r="J393" s="1">
        <v>7</v>
      </c>
      <c r="K393" s="1">
        <v>2010</v>
      </c>
      <c r="L393" s="1"/>
      <c r="M393" s="1">
        <v>1E-3</v>
      </c>
      <c r="N393" s="1">
        <v>1E-3</v>
      </c>
      <c r="O393" s="1">
        <f>(N393-N392)/N392</f>
        <v>-0.80799999999999983</v>
      </c>
      <c r="P393" s="2">
        <v>40363</v>
      </c>
      <c r="Q393" s="1">
        <v>24</v>
      </c>
      <c r="R393" s="1"/>
    </row>
    <row r="394" spans="1:18" x14ac:dyDescent="0.2">
      <c r="A394" s="3">
        <v>393</v>
      </c>
      <c r="B394" s="2">
        <v>40371</v>
      </c>
      <c r="C394" s="1">
        <v>0.20481234910728</v>
      </c>
      <c r="D394" s="1">
        <v>0.19966412583986901</v>
      </c>
      <c r="E394" s="1">
        <v>192</v>
      </c>
      <c r="F394" s="1">
        <v>0</v>
      </c>
      <c r="G394" s="1">
        <v>26.593611111111102</v>
      </c>
      <c r="H394" s="1">
        <v>0</v>
      </c>
      <c r="I394" s="1">
        <v>0</v>
      </c>
      <c r="J394" s="1">
        <v>7</v>
      </c>
      <c r="K394" s="1">
        <v>2010</v>
      </c>
      <c r="L394" s="1"/>
      <c r="M394" s="1">
        <v>1E-3</v>
      </c>
      <c r="N394" s="1">
        <v>1E-3</v>
      </c>
      <c r="O394" s="1">
        <f>(N394-N393)/N393</f>
        <v>0</v>
      </c>
      <c r="P394" s="2">
        <v>40371</v>
      </c>
      <c r="Q394" s="1">
        <v>25</v>
      </c>
      <c r="R394" s="1"/>
    </row>
    <row r="395" spans="1:18" x14ac:dyDescent="0.2">
      <c r="A395" s="3">
        <v>394</v>
      </c>
      <c r="B395" s="2">
        <v>40379</v>
      </c>
      <c r="C395" s="1">
        <v>0.211076443825296</v>
      </c>
      <c r="D395" s="1">
        <v>0.20071116834878899</v>
      </c>
      <c r="E395" s="1">
        <v>192</v>
      </c>
      <c r="F395" s="1">
        <v>0</v>
      </c>
      <c r="G395" s="1">
        <v>26.607274305555599</v>
      </c>
      <c r="H395" s="1">
        <v>0</v>
      </c>
      <c r="I395" s="1">
        <v>5.2083333333333296E-3</v>
      </c>
      <c r="J395" s="1">
        <v>7</v>
      </c>
      <c r="K395" s="1">
        <v>2010</v>
      </c>
      <c r="L395" s="1"/>
      <c r="M395" s="1">
        <v>1E-3</v>
      </c>
      <c r="N395" s="1">
        <v>1E-3</v>
      </c>
      <c r="O395" s="1">
        <f>(N395-N394)/N394</f>
        <v>0</v>
      </c>
      <c r="P395" s="2">
        <v>40379</v>
      </c>
      <c r="Q395" s="1">
        <v>26</v>
      </c>
      <c r="R395" s="1"/>
    </row>
    <row r="396" spans="1:18" x14ac:dyDescent="0.2">
      <c r="A396" s="3">
        <v>395</v>
      </c>
      <c r="B396" s="2">
        <v>40387</v>
      </c>
      <c r="C396" s="1">
        <v>0.216856762589443</v>
      </c>
      <c r="D396" s="1">
        <v>0.24286928276221001</v>
      </c>
      <c r="E396" s="1">
        <v>192</v>
      </c>
      <c r="F396" s="1">
        <v>1</v>
      </c>
      <c r="G396" s="1">
        <v>26.978819444444401</v>
      </c>
      <c r="H396" s="1">
        <v>5.2083333333333296E-3</v>
      </c>
      <c r="I396" s="1">
        <v>8.3333333333333301E-2</v>
      </c>
      <c r="J396" s="1">
        <v>7</v>
      </c>
      <c r="K396" s="1">
        <v>2010</v>
      </c>
      <c r="L396" s="1"/>
      <c r="M396" s="1">
        <v>5.2083333333333296E-3</v>
      </c>
      <c r="N396" s="1">
        <v>5.2083333333333296E-3</v>
      </c>
      <c r="O396" s="1">
        <f>(N396-N395)/N395</f>
        <v>4.2083333333333295</v>
      </c>
      <c r="P396" s="2">
        <v>40387</v>
      </c>
      <c r="Q396" s="1">
        <v>27</v>
      </c>
      <c r="R396" s="1"/>
    </row>
    <row r="397" spans="1:18" x14ac:dyDescent="0.2">
      <c r="A397" s="3">
        <v>396</v>
      </c>
      <c r="B397" s="2">
        <v>40395</v>
      </c>
      <c r="C397" s="1">
        <v>0.227361881536638</v>
      </c>
      <c r="D397" s="1">
        <v>0.242428195973237</v>
      </c>
      <c r="E397" s="1">
        <v>192</v>
      </c>
      <c r="F397" s="1">
        <v>16</v>
      </c>
      <c r="G397" s="1">
        <v>26.7619618055556</v>
      </c>
      <c r="H397" s="1">
        <v>8.3333333333333301E-2</v>
      </c>
      <c r="I397" s="1">
        <v>2.0833333333333301E-2</v>
      </c>
      <c r="J397" s="1">
        <v>8</v>
      </c>
      <c r="K397" s="1">
        <v>2010</v>
      </c>
      <c r="L397" s="1"/>
      <c r="M397" s="1">
        <v>8.3333333333333301E-2</v>
      </c>
      <c r="N397" s="1">
        <v>8.3333333333333301E-2</v>
      </c>
      <c r="O397" s="1">
        <f>(N397-N396)/N396</f>
        <v>15.000000000000005</v>
      </c>
      <c r="P397" s="2">
        <v>40395</v>
      </c>
      <c r="Q397" s="1">
        <v>28</v>
      </c>
      <c r="R397" s="1"/>
    </row>
    <row r="398" spans="1:18" x14ac:dyDescent="0.2">
      <c r="A398" s="3">
        <v>397</v>
      </c>
      <c r="B398" s="2">
        <v>40403</v>
      </c>
      <c r="C398" s="1">
        <v>0.20597644890880301</v>
      </c>
      <c r="D398" s="1">
        <v>0.21599499384562201</v>
      </c>
      <c r="E398" s="1">
        <v>192</v>
      </c>
      <c r="F398" s="1">
        <v>4</v>
      </c>
      <c r="G398" s="1">
        <v>26.656458333333301</v>
      </c>
      <c r="H398" s="1">
        <v>2.0833333333333301E-2</v>
      </c>
      <c r="I398" s="1">
        <v>4.6875E-2</v>
      </c>
      <c r="J398" s="1">
        <v>8</v>
      </c>
      <c r="K398" s="1">
        <v>2010</v>
      </c>
      <c r="L398" s="1"/>
      <c r="M398" s="1">
        <v>2.0833333333333301E-2</v>
      </c>
      <c r="N398" s="1">
        <v>2.0833333333333301E-2</v>
      </c>
      <c r="O398" s="1">
        <f>(N398-N397)/N397</f>
        <v>-0.75000000000000033</v>
      </c>
      <c r="P398" s="2">
        <v>40403</v>
      </c>
      <c r="Q398" s="1">
        <v>29</v>
      </c>
      <c r="R398" s="1"/>
    </row>
    <row r="399" spans="1:18" x14ac:dyDescent="0.2">
      <c r="A399" s="3">
        <v>398</v>
      </c>
      <c r="B399" s="2">
        <v>40411</v>
      </c>
      <c r="C399" s="1">
        <v>0.18824576896925799</v>
      </c>
      <c r="D399" s="1">
        <v>0.166524767875671</v>
      </c>
      <c r="E399" s="1">
        <v>192</v>
      </c>
      <c r="F399" s="1">
        <v>9</v>
      </c>
      <c r="G399" s="1">
        <v>26.497013888888901</v>
      </c>
      <c r="H399" s="1">
        <v>4.6875E-2</v>
      </c>
      <c r="I399" s="1">
        <v>0.91145833333333304</v>
      </c>
      <c r="J399" s="1">
        <v>8</v>
      </c>
      <c r="K399" s="1">
        <v>2010</v>
      </c>
      <c r="L399" s="1"/>
      <c r="M399" s="1">
        <v>4.6875E-2</v>
      </c>
      <c r="N399" s="1">
        <v>4.6875E-2</v>
      </c>
      <c r="O399" s="1">
        <f>(N399-N398)/N398</f>
        <v>1.2500000000000036</v>
      </c>
      <c r="P399" s="2">
        <v>40411</v>
      </c>
      <c r="Q399" s="1">
        <v>30</v>
      </c>
      <c r="R399" s="1"/>
    </row>
    <row r="400" spans="1:18" x14ac:dyDescent="0.2">
      <c r="A400" s="3">
        <v>399</v>
      </c>
      <c r="B400" s="2">
        <v>40419</v>
      </c>
      <c r="C400" s="1">
        <v>0.20203987459936501</v>
      </c>
      <c r="D400" s="1">
        <v>0.17811589936415401</v>
      </c>
      <c r="E400" s="1">
        <v>192</v>
      </c>
      <c r="F400" s="1">
        <v>175</v>
      </c>
      <c r="G400" s="1">
        <v>26.867552083333301</v>
      </c>
      <c r="H400" s="1">
        <v>0.91145833333333304</v>
      </c>
      <c r="I400" s="1">
        <v>0.94791666666666696</v>
      </c>
      <c r="J400" s="1">
        <v>8</v>
      </c>
      <c r="K400" s="1">
        <v>2010</v>
      </c>
      <c r="L400" s="1">
        <v>0.91145833333333304</v>
      </c>
      <c r="N400" s="1">
        <v>0.91145833333333304</v>
      </c>
      <c r="O400" s="4">
        <f>(N400-N399)/N399</f>
        <v>18.444444444444439</v>
      </c>
      <c r="P400" s="5">
        <v>40419</v>
      </c>
      <c r="Q400" s="1">
        <v>31</v>
      </c>
      <c r="R400" s="1"/>
    </row>
    <row r="401" spans="1:18" x14ac:dyDescent="0.2">
      <c r="A401" s="3">
        <v>400</v>
      </c>
      <c r="B401" s="5">
        <v>40427</v>
      </c>
      <c r="C401" s="1">
        <v>0.220439749206611</v>
      </c>
      <c r="D401" s="1">
        <v>0.219614910582701</v>
      </c>
      <c r="E401" s="1">
        <v>192</v>
      </c>
      <c r="F401" s="1">
        <v>182</v>
      </c>
      <c r="G401" s="1">
        <v>26.923246527777799</v>
      </c>
      <c r="H401" s="1">
        <v>0.94791666666666696</v>
      </c>
      <c r="I401" s="1">
        <v>0.81770833333333304</v>
      </c>
      <c r="J401" s="1">
        <v>9</v>
      </c>
      <c r="K401" s="1">
        <v>2010</v>
      </c>
      <c r="L401" s="1">
        <v>0.94791666666666696</v>
      </c>
      <c r="N401" s="1">
        <v>0.94791666666666696</v>
      </c>
      <c r="O401" s="1">
        <f>(N401-N400)/N400</f>
        <v>4.000000000000066E-2</v>
      </c>
      <c r="P401" s="2">
        <v>40427</v>
      </c>
      <c r="Q401" s="1">
        <v>32</v>
      </c>
      <c r="R401" s="1"/>
    </row>
    <row r="402" spans="1:18" x14ac:dyDescent="0.2">
      <c r="A402" s="3">
        <v>401</v>
      </c>
      <c r="B402" s="2">
        <v>40435</v>
      </c>
      <c r="C402" s="1">
        <v>0.18506105938186401</v>
      </c>
      <c r="D402" s="1" t="s">
        <v>0</v>
      </c>
      <c r="E402" s="1">
        <v>192</v>
      </c>
      <c r="F402" s="1">
        <v>157</v>
      </c>
      <c r="G402" s="1">
        <v>26.8650520833333</v>
      </c>
      <c r="H402" s="1">
        <v>0.81770833333333304</v>
      </c>
      <c r="I402" s="1">
        <v>0.99479166666666696</v>
      </c>
      <c r="J402" s="1">
        <v>9</v>
      </c>
      <c r="K402" s="1">
        <v>2010</v>
      </c>
      <c r="L402" s="1">
        <v>0.81770833333333304</v>
      </c>
      <c r="N402" s="1">
        <v>0.81770833333333304</v>
      </c>
      <c r="O402" s="1">
        <f>(N402-N401)/N401</f>
        <v>-0.13736263736263796</v>
      </c>
      <c r="P402" s="2">
        <v>40435</v>
      </c>
      <c r="Q402" s="1">
        <v>33</v>
      </c>
      <c r="R402" s="1"/>
    </row>
    <row r="403" spans="1:18" x14ac:dyDescent="0.2">
      <c r="A403" s="3">
        <v>402</v>
      </c>
      <c r="B403" s="2">
        <v>40443</v>
      </c>
      <c r="C403" s="1">
        <v>0.215965626802709</v>
      </c>
      <c r="D403" s="1">
        <v>0.23932066311438899</v>
      </c>
      <c r="E403" s="1">
        <v>192</v>
      </c>
      <c r="F403" s="1">
        <v>191</v>
      </c>
      <c r="G403" s="1">
        <v>27.169149305555599</v>
      </c>
      <c r="H403" s="1">
        <v>0.99479166666666696</v>
      </c>
      <c r="I403" s="1">
        <v>0.97395833333333304</v>
      </c>
      <c r="J403" s="1">
        <v>9</v>
      </c>
      <c r="K403" s="1">
        <v>2010</v>
      </c>
      <c r="L403" s="1">
        <v>0.99479166666666696</v>
      </c>
      <c r="N403" s="1">
        <v>0.99479166666666696</v>
      </c>
      <c r="O403" s="1">
        <f>(N403-N402)/N402</f>
        <v>0.21656050955414094</v>
      </c>
      <c r="P403" s="2">
        <v>40443</v>
      </c>
      <c r="Q403" s="1">
        <v>34</v>
      </c>
      <c r="R403" s="1"/>
    </row>
    <row r="404" spans="1:18" x14ac:dyDescent="0.2">
      <c r="A404" s="3">
        <v>403</v>
      </c>
      <c r="B404" s="2">
        <v>40451</v>
      </c>
      <c r="C404" s="1">
        <v>0.17429681389399301</v>
      </c>
      <c r="D404" s="1">
        <v>0.15400065233310101</v>
      </c>
      <c r="E404" s="1">
        <v>192</v>
      </c>
      <c r="F404" s="1">
        <v>187</v>
      </c>
      <c r="G404" s="1">
        <v>27.527361111111102</v>
      </c>
      <c r="H404" s="1">
        <v>0.97395833333333304</v>
      </c>
      <c r="I404" s="1">
        <v>1</v>
      </c>
      <c r="J404" s="1">
        <v>9</v>
      </c>
      <c r="K404" s="1">
        <v>2010</v>
      </c>
      <c r="L404" s="1">
        <v>0.97395833333333304</v>
      </c>
      <c r="N404" s="1">
        <v>0.97395833333333304</v>
      </c>
      <c r="O404" s="1">
        <f>(N404-N403)/N403</f>
        <v>-2.0942408376963938E-2</v>
      </c>
      <c r="P404" s="2">
        <v>40451</v>
      </c>
      <c r="Q404" s="1">
        <v>35</v>
      </c>
      <c r="R404" s="1"/>
    </row>
    <row r="405" spans="1:18" x14ac:dyDescent="0.2">
      <c r="A405" s="3">
        <v>404</v>
      </c>
      <c r="B405" s="2">
        <v>40459</v>
      </c>
      <c r="C405" s="1">
        <v>0.158124033868666</v>
      </c>
      <c r="D405" s="1">
        <v>0.15398479004700999</v>
      </c>
      <c r="E405" s="1">
        <v>192</v>
      </c>
      <c r="F405" s="1">
        <v>192</v>
      </c>
      <c r="G405" s="1">
        <v>27.740347222222201</v>
      </c>
      <c r="H405" s="1">
        <v>1</v>
      </c>
      <c r="I405" s="1">
        <v>0.953125</v>
      </c>
      <c r="J405" s="1">
        <v>10</v>
      </c>
      <c r="K405" s="1">
        <v>2010</v>
      </c>
      <c r="L405" s="1">
        <v>1</v>
      </c>
      <c r="N405" s="1">
        <v>1</v>
      </c>
      <c r="O405" s="1">
        <f>(N405-N404)/N404</f>
        <v>2.6737967914438814E-2</v>
      </c>
      <c r="P405" s="2">
        <v>40459</v>
      </c>
      <c r="Q405" s="1">
        <v>36</v>
      </c>
      <c r="R405" s="1"/>
    </row>
    <row r="406" spans="1:18" x14ac:dyDescent="0.2">
      <c r="A406" s="3">
        <v>405</v>
      </c>
      <c r="B406" s="2">
        <v>40467</v>
      </c>
      <c r="C406" s="1">
        <v>0.142673037014902</v>
      </c>
      <c r="D406" s="1" t="s">
        <v>0</v>
      </c>
      <c r="E406" s="1">
        <v>192</v>
      </c>
      <c r="F406" s="1">
        <v>183</v>
      </c>
      <c r="G406" s="1">
        <v>27.398489583333301</v>
      </c>
      <c r="H406" s="1">
        <v>0.953125</v>
      </c>
      <c r="I406" s="1">
        <v>0.94270833333333304</v>
      </c>
      <c r="J406" s="1">
        <v>10</v>
      </c>
      <c r="K406" s="1">
        <v>2010</v>
      </c>
      <c r="L406" s="1">
        <v>0.953125</v>
      </c>
      <c r="N406" s="1">
        <v>0.953125</v>
      </c>
      <c r="O406" s="1">
        <f>(N406-N405)/N405</f>
        <v>-4.6875E-2</v>
      </c>
      <c r="P406" s="2">
        <v>40467</v>
      </c>
      <c r="Q406" s="1">
        <v>37</v>
      </c>
      <c r="R406" s="1"/>
    </row>
    <row r="407" spans="1:18" x14ac:dyDescent="0.2">
      <c r="A407" s="3">
        <v>406</v>
      </c>
      <c r="B407" s="2">
        <v>40475</v>
      </c>
      <c r="C407" s="1">
        <v>0.15399083466111799</v>
      </c>
      <c r="D407" s="1">
        <v>0.16904942939678799</v>
      </c>
      <c r="E407" s="1">
        <v>192</v>
      </c>
      <c r="F407" s="1">
        <v>181</v>
      </c>
      <c r="G407" s="1">
        <v>27.789826388888901</v>
      </c>
      <c r="H407" s="1">
        <v>0.94270833333333304</v>
      </c>
      <c r="I407" s="1">
        <v>0.29166666666666702</v>
      </c>
      <c r="J407" s="1">
        <v>10</v>
      </c>
      <c r="K407" s="1">
        <v>2010</v>
      </c>
      <c r="L407" s="1">
        <v>0.94270833333333304</v>
      </c>
      <c r="N407" s="1">
        <v>0.94270833333333304</v>
      </c>
      <c r="O407" s="1">
        <f>(N407-N406)/N406</f>
        <v>-1.092896174863419E-2</v>
      </c>
      <c r="P407" s="2">
        <v>40475</v>
      </c>
      <c r="Q407" s="1">
        <v>38</v>
      </c>
      <c r="R407" s="1"/>
    </row>
    <row r="408" spans="1:18" x14ac:dyDescent="0.2">
      <c r="A408" s="3">
        <v>407</v>
      </c>
      <c r="B408" s="2">
        <v>40483</v>
      </c>
      <c r="C408" s="1">
        <v>0.12531262695606499</v>
      </c>
      <c r="D408" s="1">
        <v>0.117653184880813</v>
      </c>
      <c r="E408" s="1">
        <v>192</v>
      </c>
      <c r="F408" s="1">
        <v>56</v>
      </c>
      <c r="G408" s="1">
        <v>28.0416666666667</v>
      </c>
      <c r="H408" s="1">
        <v>0.29166666666666702</v>
      </c>
      <c r="I408" s="1">
        <v>0.14583333333333301</v>
      </c>
      <c r="J408" s="1">
        <v>11</v>
      </c>
      <c r="K408" s="1">
        <v>2010</v>
      </c>
      <c r="L408" s="1">
        <v>0.29166666666666702</v>
      </c>
      <c r="N408" s="1">
        <v>0.29166666666666702</v>
      </c>
      <c r="O408" s="1">
        <f>(N408-N407)/N407</f>
        <v>-0.6906077348066294</v>
      </c>
      <c r="P408" s="2">
        <v>40483</v>
      </c>
      <c r="Q408" s="1">
        <v>39</v>
      </c>
      <c r="R408" s="1"/>
    </row>
    <row r="409" spans="1:18" x14ac:dyDescent="0.2">
      <c r="A409" s="3">
        <v>408</v>
      </c>
      <c r="B409" s="2">
        <v>40491</v>
      </c>
      <c r="C409" s="1">
        <v>0.13184912692336601</v>
      </c>
      <c r="D409" s="1">
        <v>0.12257034828265501</v>
      </c>
      <c r="E409" s="1">
        <v>192</v>
      </c>
      <c r="F409" s="1">
        <v>28</v>
      </c>
      <c r="G409" s="1">
        <v>28.219427083333301</v>
      </c>
      <c r="H409" s="1">
        <v>0.14583333333333301</v>
      </c>
      <c r="I409" s="1">
        <v>8.8541666666666699E-2</v>
      </c>
      <c r="J409" s="1">
        <v>11</v>
      </c>
      <c r="K409" s="1">
        <v>2010</v>
      </c>
      <c r="L409" s="1">
        <v>0.14583333333333301</v>
      </c>
      <c r="N409" s="1">
        <v>0.14583333333333301</v>
      </c>
      <c r="O409" s="1">
        <f>(N409-N408)/N408</f>
        <v>-0.50000000000000167</v>
      </c>
      <c r="P409" s="2">
        <v>40491</v>
      </c>
      <c r="Q409" s="1">
        <v>40</v>
      </c>
      <c r="R409" s="1"/>
    </row>
    <row r="410" spans="1:18" x14ac:dyDescent="0.2">
      <c r="A410" s="3">
        <v>409</v>
      </c>
      <c r="B410" s="5">
        <v>40499</v>
      </c>
      <c r="C410" s="1">
        <v>0.140029579048326</v>
      </c>
      <c r="D410" s="1">
        <v>0.135821618139744</v>
      </c>
      <c r="E410" s="1">
        <v>192</v>
      </c>
      <c r="F410" s="1">
        <v>17</v>
      </c>
      <c r="G410" s="1">
        <v>28.462743055555599</v>
      </c>
      <c r="H410" s="1">
        <v>8.8541666666666699E-2</v>
      </c>
      <c r="I410" s="1">
        <v>0</v>
      </c>
      <c r="J410" s="1">
        <v>11</v>
      </c>
      <c r="K410" s="1">
        <v>2010</v>
      </c>
      <c r="L410" s="1">
        <v>8.8541666666666699E-2</v>
      </c>
      <c r="N410" s="1">
        <v>8.8541666666666699E-2</v>
      </c>
      <c r="O410" s="1">
        <f>(N410-N409)/N409</f>
        <v>-0.39285714285714129</v>
      </c>
      <c r="P410" s="5">
        <v>40499</v>
      </c>
      <c r="Q410" s="1">
        <v>41</v>
      </c>
      <c r="R410" s="1"/>
    </row>
    <row r="411" spans="1:18" x14ac:dyDescent="0.2">
      <c r="A411" s="3">
        <v>410</v>
      </c>
      <c r="B411" s="2">
        <v>40507</v>
      </c>
      <c r="C411" s="1">
        <v>0.117010282099615</v>
      </c>
      <c r="D411" s="1">
        <v>9.4244622935851396E-2</v>
      </c>
      <c r="E411" s="1">
        <v>192</v>
      </c>
      <c r="F411" s="1">
        <v>0</v>
      </c>
      <c r="G411" s="1">
        <v>28.5413541666667</v>
      </c>
      <c r="H411" s="1">
        <v>0</v>
      </c>
      <c r="I411" s="1">
        <v>3.6458333333333301E-2</v>
      </c>
      <c r="J411" s="1">
        <v>11</v>
      </c>
      <c r="K411" s="1">
        <v>2010</v>
      </c>
      <c r="L411" s="1"/>
      <c r="M411" s="1">
        <v>1E-3</v>
      </c>
      <c r="N411" s="1">
        <v>1E-3</v>
      </c>
      <c r="O411" s="4">
        <f>(N411-N410)/N410</f>
        <v>-0.98870588235294121</v>
      </c>
      <c r="P411" s="2">
        <v>40507</v>
      </c>
      <c r="Q411" s="1">
        <v>42</v>
      </c>
      <c r="R411" s="1"/>
    </row>
    <row r="412" spans="1:18" x14ac:dyDescent="0.2">
      <c r="A412" s="3">
        <v>411</v>
      </c>
      <c r="B412" s="2">
        <v>40515</v>
      </c>
      <c r="C412" s="1">
        <v>0.11334028020060299</v>
      </c>
      <c r="D412" s="1">
        <v>0.100567401697238</v>
      </c>
      <c r="E412" s="1">
        <v>192</v>
      </c>
      <c r="F412" s="1">
        <v>7</v>
      </c>
      <c r="G412" s="1">
        <v>28.8376388888889</v>
      </c>
      <c r="H412" s="1">
        <v>3.6458333333333301E-2</v>
      </c>
      <c r="I412" s="1">
        <v>2.0833333333333301E-2</v>
      </c>
      <c r="J412" s="1">
        <v>12</v>
      </c>
      <c r="K412" s="1">
        <v>2010</v>
      </c>
      <c r="L412" s="1"/>
      <c r="M412" s="1">
        <v>3.6458333333333301E-2</v>
      </c>
      <c r="N412" s="1">
        <v>3.6458333333333301E-2</v>
      </c>
      <c r="O412" s="1">
        <f>(N412-N411)/N411</f>
        <v>35.4583333333333</v>
      </c>
      <c r="P412" s="2">
        <v>40515</v>
      </c>
      <c r="Q412" s="1">
        <v>43</v>
      </c>
      <c r="R412" s="1"/>
    </row>
    <row r="413" spans="1:18" x14ac:dyDescent="0.2">
      <c r="A413" s="3">
        <v>412</v>
      </c>
      <c r="B413" s="2">
        <v>40523</v>
      </c>
      <c r="C413" s="1">
        <v>0.11694585756790001</v>
      </c>
      <c r="D413" s="1">
        <v>9.7671846548716204E-2</v>
      </c>
      <c r="E413" s="1">
        <v>192</v>
      </c>
      <c r="F413" s="1">
        <v>4</v>
      </c>
      <c r="G413" s="1">
        <v>28.7305555555556</v>
      </c>
      <c r="H413" s="1">
        <v>2.0833333333333301E-2</v>
      </c>
      <c r="I413" s="1">
        <v>2.0833333333333301E-2</v>
      </c>
      <c r="J413" s="1">
        <v>12</v>
      </c>
      <c r="K413" s="1">
        <v>2010</v>
      </c>
      <c r="L413" s="1"/>
      <c r="M413" s="1">
        <v>2.0833333333333301E-2</v>
      </c>
      <c r="N413" s="1">
        <v>2.0833333333333301E-2</v>
      </c>
      <c r="O413" s="1">
        <f>(N413-N412)/N412</f>
        <v>-0.42857142857142894</v>
      </c>
      <c r="P413" s="2">
        <v>40523</v>
      </c>
      <c r="Q413" s="1">
        <v>44</v>
      </c>
      <c r="R413" s="1"/>
    </row>
    <row r="414" spans="1:18" x14ac:dyDescent="0.2">
      <c r="A414" s="3">
        <v>413</v>
      </c>
      <c r="B414" s="2">
        <v>40531</v>
      </c>
      <c r="C414" s="1">
        <v>0.166368025690317</v>
      </c>
      <c r="D414" s="1" t="s">
        <v>0</v>
      </c>
      <c r="E414" s="1">
        <v>192</v>
      </c>
      <c r="F414" s="1">
        <v>4</v>
      </c>
      <c r="G414" s="1">
        <v>28.4980208333333</v>
      </c>
      <c r="H414" s="1">
        <v>2.0833333333333301E-2</v>
      </c>
      <c r="I414" s="1">
        <v>0</v>
      </c>
      <c r="J414" s="1">
        <v>12</v>
      </c>
      <c r="K414" s="1">
        <v>2010</v>
      </c>
      <c r="L414" s="1"/>
      <c r="M414" s="1">
        <v>2.0833333333333301E-2</v>
      </c>
      <c r="N414" s="1">
        <v>2.0833333333333301E-2</v>
      </c>
      <c r="O414" s="1">
        <f>(N414-N413)/N413</f>
        <v>0</v>
      </c>
      <c r="P414" s="2">
        <v>40531</v>
      </c>
      <c r="Q414" s="1">
        <v>45</v>
      </c>
      <c r="R414" s="1"/>
    </row>
    <row r="415" spans="1:18" x14ac:dyDescent="0.2">
      <c r="A415" s="3">
        <v>414</v>
      </c>
      <c r="B415" s="2">
        <v>40539</v>
      </c>
      <c r="C415" s="1">
        <v>0.120736046357358</v>
      </c>
      <c r="D415" s="1" t="s">
        <v>0</v>
      </c>
      <c r="E415" s="1">
        <v>120</v>
      </c>
      <c r="F415" s="1">
        <v>0</v>
      </c>
      <c r="G415" s="1">
        <v>28.450222222222202</v>
      </c>
      <c r="H415" s="1">
        <v>0</v>
      </c>
      <c r="I415" s="1">
        <v>1.0416666666666701E-2</v>
      </c>
      <c r="J415" s="1">
        <v>12</v>
      </c>
      <c r="K415" s="1">
        <v>2010</v>
      </c>
      <c r="L415" s="1"/>
      <c r="M415" s="1">
        <v>1E-3</v>
      </c>
      <c r="N415" s="1">
        <v>1E-3</v>
      </c>
      <c r="O415" s="1">
        <f>(N415-N414)/N414</f>
        <v>-0.95199999999999985</v>
      </c>
      <c r="P415" s="2">
        <v>40539</v>
      </c>
      <c r="Q415" s="1">
        <v>46</v>
      </c>
      <c r="R415" s="1"/>
    </row>
    <row r="416" spans="1:18" x14ac:dyDescent="0.2">
      <c r="A416" s="3">
        <v>415</v>
      </c>
      <c r="B416" s="2">
        <v>40544</v>
      </c>
      <c r="C416" s="1">
        <v>0.17846239332670999</v>
      </c>
      <c r="D416" s="1">
        <v>0.15144620090722999</v>
      </c>
      <c r="E416" s="1">
        <v>192</v>
      </c>
      <c r="F416" s="1">
        <v>2</v>
      </c>
      <c r="G416" s="1">
        <v>28.1755902777778</v>
      </c>
      <c r="H416" s="1">
        <v>1.0416666666666701E-2</v>
      </c>
      <c r="I416" s="1">
        <v>0</v>
      </c>
      <c r="J416" s="1">
        <v>1</v>
      </c>
      <c r="K416" s="1">
        <v>2011</v>
      </c>
      <c r="L416" s="1"/>
      <c r="M416" s="1">
        <v>1.0416666666666701E-2</v>
      </c>
      <c r="N416" s="1">
        <v>1.0416666666666701E-2</v>
      </c>
      <c r="O416" s="1">
        <f>(N416-N415)/N415</f>
        <v>9.4166666666667016</v>
      </c>
      <c r="P416" s="2">
        <v>40544</v>
      </c>
      <c r="Q416" s="1">
        <v>1</v>
      </c>
      <c r="R416" s="1"/>
    </row>
    <row r="417" spans="1:18" x14ac:dyDescent="0.2">
      <c r="A417" s="3">
        <v>416</v>
      </c>
      <c r="B417" s="2">
        <v>40552</v>
      </c>
      <c r="C417" s="1">
        <v>0.16272299151335401</v>
      </c>
      <c r="D417" s="1">
        <v>0.135512724518776</v>
      </c>
      <c r="E417" s="1">
        <v>192</v>
      </c>
      <c r="F417" s="1">
        <v>0</v>
      </c>
      <c r="G417" s="1">
        <v>28.120434027777801</v>
      </c>
      <c r="H417" s="1">
        <v>0</v>
      </c>
      <c r="I417" s="1">
        <v>0</v>
      </c>
      <c r="J417" s="1">
        <v>1</v>
      </c>
      <c r="K417" s="1">
        <v>2011</v>
      </c>
      <c r="L417" s="1"/>
      <c r="M417" s="1">
        <v>1E-3</v>
      </c>
      <c r="N417" s="1">
        <v>1E-3</v>
      </c>
      <c r="O417" s="1">
        <f>(N417-N416)/N416</f>
        <v>-0.90400000000000036</v>
      </c>
      <c r="P417" s="2">
        <v>40552</v>
      </c>
      <c r="Q417" s="1">
        <v>2</v>
      </c>
      <c r="R417" s="1"/>
    </row>
    <row r="418" spans="1:18" x14ac:dyDescent="0.2">
      <c r="A418" s="3">
        <v>417</v>
      </c>
      <c r="B418" s="2">
        <v>40560</v>
      </c>
      <c r="C418" s="1">
        <v>0.207413411704746</v>
      </c>
      <c r="D418" s="1">
        <v>0.183486896256606</v>
      </c>
      <c r="E418" s="1">
        <v>192</v>
      </c>
      <c r="F418" s="1">
        <v>0</v>
      </c>
      <c r="G418" s="1">
        <v>27.869461805555598</v>
      </c>
      <c r="H418" s="1">
        <v>0</v>
      </c>
      <c r="I418" s="1">
        <v>3.125E-2</v>
      </c>
      <c r="J418" s="1">
        <v>1</v>
      </c>
      <c r="K418" s="1">
        <v>2011</v>
      </c>
      <c r="L418" s="1"/>
      <c r="M418" s="1">
        <v>1E-3</v>
      </c>
      <c r="N418" s="1">
        <v>1E-3</v>
      </c>
      <c r="O418" s="1">
        <f>(N418-N417)/N417</f>
        <v>0</v>
      </c>
      <c r="P418" s="2">
        <v>40560</v>
      </c>
      <c r="Q418" s="1">
        <v>3</v>
      </c>
      <c r="R418" s="1"/>
    </row>
    <row r="419" spans="1:18" x14ac:dyDescent="0.2">
      <c r="A419" s="3">
        <v>418</v>
      </c>
      <c r="B419" s="2">
        <v>40568</v>
      </c>
      <c r="C419" s="1">
        <v>0.23199735220634601</v>
      </c>
      <c r="D419" s="1">
        <v>0.22560022274653099</v>
      </c>
      <c r="E419" s="1">
        <v>192</v>
      </c>
      <c r="F419" s="1">
        <v>6</v>
      </c>
      <c r="G419" s="1">
        <v>27.617204861111102</v>
      </c>
      <c r="H419" s="1">
        <v>3.125E-2</v>
      </c>
      <c r="I419" s="1">
        <v>5.2083333333333296E-3</v>
      </c>
      <c r="J419" s="1">
        <v>1</v>
      </c>
      <c r="K419" s="1">
        <v>2011</v>
      </c>
      <c r="L419" s="1"/>
      <c r="M419" s="1">
        <v>3.125E-2</v>
      </c>
      <c r="N419" s="1">
        <v>3.125E-2</v>
      </c>
      <c r="O419" s="1">
        <f>(N419-N418)/N418</f>
        <v>30.25</v>
      </c>
      <c r="P419" s="2">
        <v>40568</v>
      </c>
      <c r="Q419" s="1">
        <v>4</v>
      </c>
      <c r="R419" s="1"/>
    </row>
    <row r="420" spans="1:18" x14ac:dyDescent="0.2">
      <c r="A420" s="3">
        <v>419</v>
      </c>
      <c r="B420" s="2">
        <v>40576</v>
      </c>
      <c r="C420" s="1">
        <v>0.340200233522435</v>
      </c>
      <c r="D420" s="1">
        <v>0.33569999784231203</v>
      </c>
      <c r="E420" s="1">
        <v>192</v>
      </c>
      <c r="F420" s="1">
        <v>1</v>
      </c>
      <c r="G420" s="1">
        <v>27.684045138888902</v>
      </c>
      <c r="H420" s="1">
        <v>5.2083333333333296E-3</v>
      </c>
      <c r="I420" s="1">
        <v>0</v>
      </c>
      <c r="J420" s="1">
        <v>2</v>
      </c>
      <c r="K420" s="1">
        <v>2011</v>
      </c>
      <c r="L420" s="1"/>
      <c r="M420" s="1">
        <v>5.2083333333333296E-3</v>
      </c>
      <c r="N420" s="1">
        <v>5.2083333333333296E-3</v>
      </c>
      <c r="O420" s="1">
        <f>(N420-N419)/N419</f>
        <v>-0.83333333333333348</v>
      </c>
      <c r="P420" s="2">
        <v>40576</v>
      </c>
      <c r="Q420" s="1">
        <v>5</v>
      </c>
      <c r="R420" s="1"/>
    </row>
    <row r="421" spans="1:18" x14ac:dyDescent="0.2">
      <c r="A421" s="3">
        <v>420</v>
      </c>
      <c r="B421" s="2">
        <v>40584</v>
      </c>
      <c r="C421" s="1">
        <v>0.23954100222326799</v>
      </c>
      <c r="D421" s="1">
        <v>0.231335836648941</v>
      </c>
      <c r="E421" s="1">
        <v>192</v>
      </c>
      <c r="F421" s="1">
        <v>0</v>
      </c>
      <c r="G421" s="1">
        <v>28.403506944444398</v>
      </c>
      <c r="H421" s="1">
        <v>0</v>
      </c>
      <c r="I421" s="1">
        <v>1.0422094841063099E-2</v>
      </c>
      <c r="J421" s="1">
        <v>2</v>
      </c>
      <c r="K421" s="1">
        <v>2011</v>
      </c>
      <c r="L421" s="1"/>
      <c r="M421" s="1">
        <v>1E-3</v>
      </c>
      <c r="N421" s="1">
        <v>1E-3</v>
      </c>
      <c r="O421" s="1">
        <f>(N421-N420)/N420</f>
        <v>-0.80799999999999983</v>
      </c>
      <c r="P421" s="2">
        <v>40584</v>
      </c>
      <c r="Q421" s="1">
        <v>6</v>
      </c>
      <c r="R421" s="1"/>
    </row>
    <row r="422" spans="1:18" x14ac:dyDescent="0.2">
      <c r="A422" s="3">
        <v>421</v>
      </c>
      <c r="B422" s="2">
        <v>40592</v>
      </c>
      <c r="C422" s="1">
        <v>0.18895201732563499</v>
      </c>
      <c r="D422" s="1">
        <v>0.17121290167172801</v>
      </c>
      <c r="E422" s="1">
        <v>191.9</v>
      </c>
      <c r="F422" s="1">
        <v>2</v>
      </c>
      <c r="G422" s="1">
        <v>28.588715277777801</v>
      </c>
      <c r="H422" s="1">
        <v>1.0422094841063099E-2</v>
      </c>
      <c r="I422" s="1">
        <v>0</v>
      </c>
      <c r="J422" s="1">
        <v>2</v>
      </c>
      <c r="K422" s="1">
        <v>2011</v>
      </c>
      <c r="L422" s="1"/>
      <c r="M422" s="1">
        <v>1.0422094841063099E-2</v>
      </c>
      <c r="N422" s="1">
        <v>1.0422094841063099E-2</v>
      </c>
      <c r="O422" s="1">
        <f>(N422-N421)/N421</f>
        <v>9.4220948410630996</v>
      </c>
      <c r="P422" s="2">
        <v>40592</v>
      </c>
      <c r="Q422" s="1">
        <v>7</v>
      </c>
      <c r="R422" s="1"/>
    </row>
    <row r="423" spans="1:18" x14ac:dyDescent="0.2">
      <c r="A423" s="3">
        <v>422</v>
      </c>
      <c r="B423" s="2">
        <v>40600</v>
      </c>
      <c r="C423" s="1">
        <v>0.16046293461251801</v>
      </c>
      <c r="D423" s="1">
        <v>0.13308238486448901</v>
      </c>
      <c r="E423" s="1">
        <v>192</v>
      </c>
      <c r="F423" s="1">
        <v>0</v>
      </c>
      <c r="G423" s="1">
        <v>28.399913194444402</v>
      </c>
      <c r="H423" s="1">
        <v>0</v>
      </c>
      <c r="I423" s="1">
        <v>0</v>
      </c>
      <c r="J423" s="1">
        <v>2</v>
      </c>
      <c r="K423" s="1">
        <v>2011</v>
      </c>
      <c r="L423" s="1"/>
      <c r="M423" s="1">
        <v>1E-3</v>
      </c>
      <c r="N423" s="1">
        <v>1E-3</v>
      </c>
      <c r="O423" s="1">
        <f>(N423-N422)/N422</f>
        <v>-0.90405000000000046</v>
      </c>
      <c r="P423" s="2">
        <v>40600</v>
      </c>
      <c r="Q423" s="1">
        <v>8</v>
      </c>
      <c r="R423" s="1"/>
    </row>
    <row r="424" spans="1:18" x14ac:dyDescent="0.2">
      <c r="A424" s="3">
        <v>423</v>
      </c>
      <c r="B424" s="2">
        <v>40608</v>
      </c>
      <c r="C424" s="1">
        <v>0.15213574976081701</v>
      </c>
      <c r="D424" s="1">
        <v>0.130168209473292</v>
      </c>
      <c r="E424" s="1">
        <v>192</v>
      </c>
      <c r="F424" s="1">
        <v>0</v>
      </c>
      <c r="G424" s="1">
        <v>28.949670138888902</v>
      </c>
      <c r="H424" s="1">
        <v>0</v>
      </c>
      <c r="I424" s="1">
        <v>0</v>
      </c>
      <c r="J424" s="1">
        <v>3</v>
      </c>
      <c r="K424" s="1">
        <v>2011</v>
      </c>
      <c r="L424" s="1"/>
      <c r="M424" s="1">
        <v>1E-3</v>
      </c>
      <c r="N424" s="1">
        <v>1E-3</v>
      </c>
      <c r="O424" s="1">
        <f>(N424-N423)/N423</f>
        <v>0</v>
      </c>
      <c r="P424" s="2">
        <v>40608</v>
      </c>
      <c r="Q424" s="1">
        <v>9</v>
      </c>
      <c r="R424" s="1"/>
    </row>
    <row r="425" spans="1:18" x14ac:dyDescent="0.2">
      <c r="A425" s="3">
        <v>424</v>
      </c>
      <c r="B425" s="2">
        <v>40616</v>
      </c>
      <c r="C425" s="1">
        <v>0.15451005804869899</v>
      </c>
      <c r="D425" s="1">
        <v>0.149165931344032</v>
      </c>
      <c r="E425" s="1">
        <v>192</v>
      </c>
      <c r="F425" s="1">
        <v>0</v>
      </c>
      <c r="G425" s="1">
        <v>28.783645833333299</v>
      </c>
      <c r="H425" s="1">
        <v>0</v>
      </c>
      <c r="I425" s="1">
        <v>0</v>
      </c>
      <c r="J425" s="1">
        <v>3</v>
      </c>
      <c r="K425" s="1">
        <v>2011</v>
      </c>
      <c r="L425" s="1"/>
      <c r="M425" s="1">
        <v>1E-3</v>
      </c>
      <c r="N425" s="1">
        <v>1E-3</v>
      </c>
      <c r="O425" s="1">
        <f>(N425-N424)/N424</f>
        <v>0</v>
      </c>
      <c r="P425" s="2">
        <v>40616</v>
      </c>
      <c r="Q425" s="1">
        <v>10</v>
      </c>
      <c r="R425" s="1"/>
    </row>
    <row r="426" spans="1:18" x14ac:dyDescent="0.2">
      <c r="A426" s="3">
        <v>425</v>
      </c>
      <c r="B426" s="2">
        <v>40624</v>
      </c>
      <c r="C426" s="1">
        <v>0.165617609307879</v>
      </c>
      <c r="D426" s="1">
        <v>0.15212924281756099</v>
      </c>
      <c r="E426" s="1">
        <v>191.9</v>
      </c>
      <c r="F426" s="1">
        <v>0</v>
      </c>
      <c r="G426" s="1">
        <v>28.940156250000001</v>
      </c>
      <c r="H426" s="1">
        <v>0</v>
      </c>
      <c r="I426" s="1">
        <v>0</v>
      </c>
      <c r="J426" s="1">
        <v>3</v>
      </c>
      <c r="K426" s="1">
        <v>2011</v>
      </c>
      <c r="L426" s="1"/>
      <c r="M426" s="1">
        <v>1E-3</v>
      </c>
      <c r="N426" s="1">
        <v>1E-3</v>
      </c>
      <c r="O426" s="1">
        <f>(N426-N425)/N425</f>
        <v>0</v>
      </c>
      <c r="P426" s="2">
        <v>40624</v>
      </c>
      <c r="Q426" s="1">
        <v>11</v>
      </c>
      <c r="R426" s="1"/>
    </row>
    <row r="427" spans="1:18" x14ac:dyDescent="0.2">
      <c r="A427" s="3">
        <v>426</v>
      </c>
      <c r="B427" s="2">
        <v>40632</v>
      </c>
      <c r="C427" s="1">
        <v>0.15278656842440499</v>
      </c>
      <c r="D427" s="1">
        <v>0.14272619535525599</v>
      </c>
      <c r="E427" s="1">
        <v>192</v>
      </c>
      <c r="F427" s="1">
        <v>0</v>
      </c>
      <c r="G427" s="1">
        <v>28.623333333333299</v>
      </c>
      <c r="H427" s="1">
        <v>0</v>
      </c>
      <c r="I427" s="1">
        <v>6.7708333333333301E-2</v>
      </c>
      <c r="J427" s="1">
        <v>3</v>
      </c>
      <c r="K427" s="1">
        <v>2011</v>
      </c>
      <c r="L427" s="1"/>
      <c r="M427" s="1">
        <v>1E-3</v>
      </c>
      <c r="N427" s="1">
        <v>1E-3</v>
      </c>
      <c r="O427" s="1">
        <f>(N427-N426)/N426</f>
        <v>0</v>
      </c>
      <c r="P427" s="2">
        <v>40632</v>
      </c>
      <c r="Q427" s="1">
        <v>12</v>
      </c>
      <c r="R427" s="1"/>
    </row>
    <row r="428" spans="1:18" x14ac:dyDescent="0.2">
      <c r="A428" s="3">
        <v>427</v>
      </c>
      <c r="B428" s="2">
        <v>40640</v>
      </c>
      <c r="C428" s="1">
        <v>0.16171222934003401</v>
      </c>
      <c r="D428" s="1">
        <v>0.152720709641775</v>
      </c>
      <c r="E428" s="1">
        <v>192</v>
      </c>
      <c r="F428" s="1">
        <v>13</v>
      </c>
      <c r="G428" s="1">
        <v>28.359600694444399</v>
      </c>
      <c r="H428" s="1">
        <v>6.7708333333333301E-2</v>
      </c>
      <c r="I428" s="1">
        <v>8.0971659919028306E-3</v>
      </c>
      <c r="J428" s="1">
        <v>4</v>
      </c>
      <c r="K428" s="1">
        <v>2011</v>
      </c>
      <c r="L428" s="1"/>
      <c r="M428" s="1">
        <v>6.7708333333333301E-2</v>
      </c>
      <c r="N428" s="1">
        <v>6.7708333333333301E-2</v>
      </c>
      <c r="O428" s="1">
        <f>(N428-N427)/N427</f>
        <v>66.7083333333333</v>
      </c>
      <c r="P428" s="2">
        <v>40640</v>
      </c>
      <c r="Q428" s="1">
        <v>13</v>
      </c>
      <c r="R428" s="1"/>
    </row>
    <row r="429" spans="1:18" x14ac:dyDescent="0.2">
      <c r="A429" s="3">
        <v>428</v>
      </c>
      <c r="B429" s="2">
        <v>40648</v>
      </c>
      <c r="C429" s="1">
        <v>0.14646156335018101</v>
      </c>
      <c r="D429" s="1">
        <v>0.13401108483473501</v>
      </c>
      <c r="E429" s="1">
        <v>123.5</v>
      </c>
      <c r="F429" s="1">
        <v>1</v>
      </c>
      <c r="G429" s="1">
        <v>28.3972916666667</v>
      </c>
      <c r="H429" s="1">
        <v>8.0971659919028306E-3</v>
      </c>
      <c r="I429" s="1">
        <v>5.2083333333333296E-3</v>
      </c>
      <c r="J429" s="1">
        <v>4</v>
      </c>
      <c r="K429" s="1">
        <v>2011</v>
      </c>
      <c r="L429" s="1"/>
      <c r="M429" s="1">
        <v>8.0971659919028306E-3</v>
      </c>
      <c r="N429" s="1">
        <v>8.0971659919028306E-3</v>
      </c>
      <c r="O429" s="1">
        <f>(N429-N428)/N428</f>
        <v>-0.88041108688881975</v>
      </c>
      <c r="P429" s="2">
        <v>40648</v>
      </c>
      <c r="Q429" s="1">
        <v>14</v>
      </c>
      <c r="R429" s="1"/>
    </row>
    <row r="430" spans="1:18" x14ac:dyDescent="0.2">
      <c r="A430" s="3">
        <v>429</v>
      </c>
      <c r="B430" s="2">
        <v>40656</v>
      </c>
      <c r="C430" s="1">
        <v>0.13307686876848401</v>
      </c>
      <c r="D430" s="1">
        <v>0.115760323901971</v>
      </c>
      <c r="E430" s="1">
        <v>192</v>
      </c>
      <c r="F430" s="1">
        <v>1</v>
      </c>
      <c r="G430" s="1">
        <v>28.5293923611111</v>
      </c>
      <c r="H430" s="1">
        <v>5.2083333333333296E-3</v>
      </c>
      <c r="I430" s="1">
        <v>0</v>
      </c>
      <c r="J430" s="1">
        <v>4</v>
      </c>
      <c r="K430" s="1">
        <v>2011</v>
      </c>
      <c r="L430" s="1"/>
      <c r="M430" s="1">
        <v>5.2083333333333296E-3</v>
      </c>
      <c r="N430" s="1">
        <v>5.2083333333333296E-3</v>
      </c>
      <c r="O430" s="1">
        <f>(N430-N429)/N429</f>
        <v>-0.35677083333333354</v>
      </c>
      <c r="P430" s="2">
        <v>40656</v>
      </c>
      <c r="Q430" s="1">
        <v>15</v>
      </c>
      <c r="R430" s="1"/>
    </row>
    <row r="431" spans="1:18" x14ac:dyDescent="0.2">
      <c r="A431" s="3">
        <v>430</v>
      </c>
      <c r="B431" s="2">
        <v>40664</v>
      </c>
      <c r="C431" s="1">
        <v>0.13201094908121799</v>
      </c>
      <c r="D431" s="1">
        <v>0.12294649953643499</v>
      </c>
      <c r="E431" s="1">
        <v>192</v>
      </c>
      <c r="F431" s="1">
        <v>0</v>
      </c>
      <c r="G431" s="1">
        <v>28.325434027777799</v>
      </c>
      <c r="H431" s="1">
        <v>0</v>
      </c>
      <c r="I431" s="1">
        <v>0</v>
      </c>
      <c r="J431" s="1">
        <v>5</v>
      </c>
      <c r="K431" s="1">
        <v>2011</v>
      </c>
      <c r="L431" s="1"/>
      <c r="M431" s="1">
        <v>1E-3</v>
      </c>
      <c r="N431" s="1">
        <v>1E-3</v>
      </c>
      <c r="O431" s="1">
        <f>(N431-N430)/N430</f>
        <v>-0.80799999999999983</v>
      </c>
      <c r="P431" s="2">
        <v>40664</v>
      </c>
      <c r="Q431" s="1">
        <v>16</v>
      </c>
      <c r="R431" s="1"/>
    </row>
    <row r="432" spans="1:18" x14ac:dyDescent="0.2">
      <c r="A432" s="3">
        <v>431</v>
      </c>
      <c r="B432" s="2">
        <v>40672</v>
      </c>
      <c r="C432" s="1">
        <v>0.13983023308572301</v>
      </c>
      <c r="D432" s="1">
        <v>0.13145356873671199</v>
      </c>
      <c r="E432" s="1">
        <v>192</v>
      </c>
      <c r="F432" s="1">
        <v>0</v>
      </c>
      <c r="G432" s="1">
        <v>28.189062499999999</v>
      </c>
      <c r="H432" s="1">
        <v>0</v>
      </c>
      <c r="I432" s="1">
        <v>0</v>
      </c>
      <c r="J432" s="1">
        <v>5</v>
      </c>
      <c r="K432" s="1">
        <v>2011</v>
      </c>
      <c r="L432" s="1"/>
      <c r="M432" s="1">
        <v>1E-3</v>
      </c>
      <c r="N432" s="1">
        <v>1E-3</v>
      </c>
      <c r="O432" s="1">
        <f>(N432-N431)/N431</f>
        <v>0</v>
      </c>
      <c r="P432" s="2">
        <v>40672</v>
      </c>
      <c r="Q432" s="1">
        <v>17</v>
      </c>
      <c r="R432" s="1"/>
    </row>
    <row r="433" spans="1:18" x14ac:dyDescent="0.2">
      <c r="A433" s="3">
        <v>432</v>
      </c>
      <c r="B433" s="2">
        <v>40680</v>
      </c>
      <c r="C433" s="1">
        <v>0.135261756516773</v>
      </c>
      <c r="D433" s="1">
        <v>0.12892993415395401</v>
      </c>
      <c r="E433" s="1">
        <v>192</v>
      </c>
      <c r="F433" s="1">
        <v>0</v>
      </c>
      <c r="G433" s="1">
        <v>27.924722222222201</v>
      </c>
      <c r="H433" s="1">
        <v>0</v>
      </c>
      <c r="I433" s="1">
        <v>0</v>
      </c>
      <c r="J433" s="1">
        <v>5</v>
      </c>
      <c r="K433" s="1">
        <v>2011</v>
      </c>
      <c r="L433" s="1"/>
      <c r="M433" s="1">
        <v>1E-3</v>
      </c>
      <c r="N433" s="1">
        <v>1E-3</v>
      </c>
      <c r="O433" s="1">
        <f>(N433-N432)/N432</f>
        <v>0</v>
      </c>
      <c r="P433" s="2">
        <v>40680</v>
      </c>
      <c r="Q433" s="1">
        <v>18</v>
      </c>
      <c r="R433" s="1"/>
    </row>
    <row r="434" spans="1:18" x14ac:dyDescent="0.2">
      <c r="A434" s="3">
        <v>433</v>
      </c>
      <c r="B434" s="2">
        <v>40688</v>
      </c>
      <c r="C434" s="1">
        <v>0.15607909840592299</v>
      </c>
      <c r="D434" s="1">
        <v>0.15919967989126799</v>
      </c>
      <c r="E434" s="1">
        <v>192</v>
      </c>
      <c r="F434" s="1">
        <v>0</v>
      </c>
      <c r="G434" s="1">
        <v>27.902760416666698</v>
      </c>
      <c r="H434" s="1">
        <v>0</v>
      </c>
      <c r="I434" s="1">
        <v>1.0416666666666701E-2</v>
      </c>
      <c r="J434" s="1">
        <v>5</v>
      </c>
      <c r="K434" s="1">
        <v>2011</v>
      </c>
      <c r="L434" s="1"/>
      <c r="M434" s="1">
        <v>1E-3</v>
      </c>
      <c r="N434" s="1">
        <v>1E-3</v>
      </c>
      <c r="O434" s="1">
        <f>(N434-N433)/N433</f>
        <v>0</v>
      </c>
      <c r="P434" s="2">
        <v>40688</v>
      </c>
      <c r="Q434" s="1">
        <v>19</v>
      </c>
      <c r="R434" s="1"/>
    </row>
    <row r="435" spans="1:18" x14ac:dyDescent="0.2">
      <c r="A435" s="3">
        <v>434</v>
      </c>
      <c r="B435" s="2">
        <v>40696</v>
      </c>
      <c r="C435" s="1">
        <v>0.151653673363531</v>
      </c>
      <c r="D435" s="1">
        <v>0.150249955554803</v>
      </c>
      <c r="E435" s="1">
        <v>192</v>
      </c>
      <c r="F435" s="1">
        <v>2</v>
      </c>
      <c r="G435" s="1">
        <v>27.655329861111099</v>
      </c>
      <c r="H435" s="1">
        <v>1.0416666666666701E-2</v>
      </c>
      <c r="I435" s="1">
        <v>2.6041666666666699E-2</v>
      </c>
      <c r="J435" s="1">
        <v>6</v>
      </c>
      <c r="K435" s="1">
        <v>2011</v>
      </c>
      <c r="L435" s="1"/>
      <c r="M435" s="1">
        <v>1.0416666666666701E-2</v>
      </c>
      <c r="N435" s="1">
        <v>1.0416666666666701E-2</v>
      </c>
      <c r="O435" s="1">
        <f>(N435-N434)/N434</f>
        <v>9.4166666666667016</v>
      </c>
      <c r="P435" s="2">
        <v>40696</v>
      </c>
      <c r="Q435" s="1">
        <v>20</v>
      </c>
      <c r="R435" s="1"/>
    </row>
    <row r="436" spans="1:18" x14ac:dyDescent="0.2">
      <c r="A436" s="3">
        <v>435</v>
      </c>
      <c r="B436" s="2">
        <v>40704</v>
      </c>
      <c r="C436" s="1">
        <v>0.14345241650672899</v>
      </c>
      <c r="D436" s="1">
        <v>0.13752740373214101</v>
      </c>
      <c r="E436" s="1">
        <v>192</v>
      </c>
      <c r="F436" s="1">
        <v>5</v>
      </c>
      <c r="G436" s="1">
        <v>27.498871527777801</v>
      </c>
      <c r="H436" s="1">
        <v>2.6041666666666699E-2</v>
      </c>
      <c r="I436" s="1">
        <v>0.20833333333333301</v>
      </c>
      <c r="J436" s="1">
        <v>6</v>
      </c>
      <c r="K436" s="1">
        <v>2011</v>
      </c>
      <c r="L436" s="1"/>
      <c r="M436" s="1">
        <v>2.6041666666666699E-2</v>
      </c>
      <c r="N436" s="1">
        <v>2.6041666666666699E-2</v>
      </c>
      <c r="O436" s="1">
        <f>(N436-N435)/N435</f>
        <v>1.4999999999999949</v>
      </c>
      <c r="P436" s="2">
        <v>40704</v>
      </c>
      <c r="Q436" s="1">
        <v>21</v>
      </c>
      <c r="R436" s="1"/>
    </row>
    <row r="437" spans="1:18" x14ac:dyDescent="0.2">
      <c r="A437" s="3">
        <v>436</v>
      </c>
      <c r="B437" s="2">
        <v>40712</v>
      </c>
      <c r="C437" s="1">
        <v>0.129087188602549</v>
      </c>
      <c r="D437" s="1">
        <v>0.13559623360633799</v>
      </c>
      <c r="E437" s="1">
        <v>192</v>
      </c>
      <c r="F437" s="1">
        <v>40</v>
      </c>
      <c r="G437" s="1">
        <v>27.377812500000001</v>
      </c>
      <c r="H437" s="1">
        <v>0.20833333333333301</v>
      </c>
      <c r="I437" s="1">
        <v>0.875</v>
      </c>
      <c r="J437" s="1">
        <v>6</v>
      </c>
      <c r="K437" s="1">
        <v>2011</v>
      </c>
      <c r="L437" s="1"/>
      <c r="M437" s="1">
        <v>0.20833333333333301</v>
      </c>
      <c r="N437" s="1">
        <v>0.20833333333333301</v>
      </c>
      <c r="O437" s="1">
        <f>(N437-N436)/N436</f>
        <v>6.9999999999999769</v>
      </c>
      <c r="P437" s="2">
        <v>40712</v>
      </c>
      <c r="Q437" s="1">
        <v>22</v>
      </c>
      <c r="R437" s="1"/>
    </row>
    <row r="438" spans="1:18" x14ac:dyDescent="0.2">
      <c r="A438" s="3">
        <v>437</v>
      </c>
      <c r="B438" s="5">
        <v>40720</v>
      </c>
      <c r="C438" s="1" t="s">
        <v>0</v>
      </c>
      <c r="D438" s="1" t="s">
        <v>0</v>
      </c>
      <c r="E438" s="1">
        <v>184</v>
      </c>
      <c r="F438" s="1">
        <v>161</v>
      </c>
      <c r="G438" s="1">
        <v>27.1423263888889</v>
      </c>
      <c r="H438" s="1">
        <v>0.875</v>
      </c>
      <c r="I438" s="1">
        <v>0.96354166666666696</v>
      </c>
      <c r="J438" s="1">
        <v>6</v>
      </c>
      <c r="K438" s="1">
        <v>2011</v>
      </c>
      <c r="L438" s="1">
        <v>0.875</v>
      </c>
      <c r="N438" s="1">
        <v>0.875</v>
      </c>
      <c r="O438" s="4">
        <f>(N438-N437)/N437</f>
        <v>3.2000000000000064</v>
      </c>
      <c r="P438" s="5">
        <v>40720</v>
      </c>
      <c r="Q438" s="1">
        <v>23</v>
      </c>
      <c r="R438" s="1"/>
    </row>
    <row r="439" spans="1:18" x14ac:dyDescent="0.2">
      <c r="A439" s="3">
        <v>438</v>
      </c>
      <c r="B439" s="2">
        <v>40728</v>
      </c>
      <c r="C439" s="1">
        <v>0.16966410775979399</v>
      </c>
      <c r="D439" s="1">
        <v>0.16829903672138799</v>
      </c>
      <c r="E439" s="1">
        <v>192</v>
      </c>
      <c r="F439" s="1">
        <v>185</v>
      </c>
      <c r="G439" s="1">
        <v>27.214010416666699</v>
      </c>
      <c r="H439" s="1">
        <v>0.96354166666666696</v>
      </c>
      <c r="I439" s="1">
        <v>0.80729166666666696</v>
      </c>
      <c r="J439" s="1">
        <v>7</v>
      </c>
      <c r="K439" s="1">
        <v>2011</v>
      </c>
      <c r="L439" s="1">
        <v>0.96354166666666696</v>
      </c>
      <c r="N439" s="1">
        <v>0.96354166666666696</v>
      </c>
      <c r="O439" s="1">
        <f>(N439-N438)/N438</f>
        <v>0.10119047619047652</v>
      </c>
      <c r="P439" s="2">
        <v>40728</v>
      </c>
      <c r="Q439" s="1">
        <v>24</v>
      </c>
      <c r="R439" s="1"/>
    </row>
    <row r="440" spans="1:18" x14ac:dyDescent="0.2">
      <c r="A440" s="3">
        <v>439</v>
      </c>
      <c r="B440" s="2">
        <v>40736</v>
      </c>
      <c r="C440" s="1">
        <v>0.183139175753778</v>
      </c>
      <c r="D440" s="1">
        <v>0.179101452231407</v>
      </c>
      <c r="E440" s="1">
        <v>192</v>
      </c>
      <c r="F440" s="1">
        <v>155</v>
      </c>
      <c r="G440" s="1">
        <v>26.538697916666699</v>
      </c>
      <c r="H440" s="1">
        <v>0.80729166666666696</v>
      </c>
      <c r="I440" s="1">
        <v>0.96875</v>
      </c>
      <c r="J440" s="1">
        <v>7</v>
      </c>
      <c r="K440" s="1">
        <v>2011</v>
      </c>
      <c r="L440" s="1">
        <v>0.80729166666666696</v>
      </c>
      <c r="N440" s="1">
        <v>0.80729166666666696</v>
      </c>
      <c r="O440" s="1">
        <f>(N440-N439)/N439</f>
        <v>-0.16216216216216212</v>
      </c>
      <c r="P440" s="2">
        <v>40736</v>
      </c>
      <c r="Q440" s="1">
        <v>25</v>
      </c>
      <c r="R440" s="1"/>
    </row>
    <row r="441" spans="1:18" x14ac:dyDescent="0.2">
      <c r="A441" s="3">
        <v>440</v>
      </c>
      <c r="B441" s="2">
        <v>40744</v>
      </c>
      <c r="C441" s="1">
        <v>0.220558803597111</v>
      </c>
      <c r="D441" s="1">
        <v>0.223417468369007</v>
      </c>
      <c r="E441" s="1">
        <v>192</v>
      </c>
      <c r="F441" s="1">
        <v>186</v>
      </c>
      <c r="G441" s="1">
        <v>26.449826388888901</v>
      </c>
      <c r="H441" s="1">
        <v>0.96875</v>
      </c>
      <c r="I441" s="1">
        <v>0.80729166666666696</v>
      </c>
      <c r="J441" s="1">
        <v>7</v>
      </c>
      <c r="K441" s="1">
        <v>2011</v>
      </c>
      <c r="L441" s="1">
        <v>0.96875</v>
      </c>
      <c r="N441" s="1">
        <v>0.96875</v>
      </c>
      <c r="O441" s="1">
        <f>(N441-N440)/N440</f>
        <v>0.19999999999999957</v>
      </c>
      <c r="P441" s="2">
        <v>40744</v>
      </c>
      <c r="Q441" s="1">
        <v>26</v>
      </c>
      <c r="R441" s="1"/>
    </row>
    <row r="442" spans="1:18" x14ac:dyDescent="0.2">
      <c r="A442" s="3">
        <v>441</v>
      </c>
      <c r="B442" s="2">
        <v>40752</v>
      </c>
      <c r="C442" s="1">
        <v>0.193606604662167</v>
      </c>
      <c r="D442" s="1">
        <v>0.18868188063303601</v>
      </c>
      <c r="E442" s="1">
        <v>192</v>
      </c>
      <c r="F442" s="1">
        <v>155</v>
      </c>
      <c r="G442" s="1">
        <v>26.7080555555556</v>
      </c>
      <c r="H442" s="1">
        <v>0.80729166666666696</v>
      </c>
      <c r="I442" s="1">
        <v>0.80729166666666696</v>
      </c>
      <c r="J442" s="1">
        <v>7</v>
      </c>
      <c r="K442" s="1">
        <v>2011</v>
      </c>
      <c r="L442" s="1">
        <v>0.80729166666666696</v>
      </c>
      <c r="N442" s="1">
        <v>0.80729166666666696</v>
      </c>
      <c r="O442" s="1">
        <f>(N442-N441)/N441</f>
        <v>-0.16666666666666635</v>
      </c>
      <c r="P442" s="2">
        <v>40752</v>
      </c>
      <c r="Q442" s="1">
        <v>27</v>
      </c>
      <c r="R442" s="1"/>
    </row>
    <row r="443" spans="1:18" x14ac:dyDescent="0.2">
      <c r="A443" s="3">
        <v>442</v>
      </c>
      <c r="B443" s="2">
        <v>40760</v>
      </c>
      <c r="C443" s="1">
        <v>0.20484154957036199</v>
      </c>
      <c r="D443" s="1">
        <v>0.220431692898273</v>
      </c>
      <c r="E443" s="1">
        <v>192</v>
      </c>
      <c r="F443" s="1">
        <v>155</v>
      </c>
      <c r="G443" s="1">
        <v>26.822829861111099</v>
      </c>
      <c r="H443" s="1">
        <v>0.80729166666666696</v>
      </c>
      <c r="I443" s="1">
        <v>1</v>
      </c>
      <c r="J443" s="1">
        <v>8</v>
      </c>
      <c r="K443" s="1">
        <v>2011</v>
      </c>
      <c r="L443" s="1">
        <v>0.80729166666666696</v>
      </c>
      <c r="N443" s="1">
        <v>0.80729166666666696</v>
      </c>
      <c r="O443" s="1">
        <f>(N443-N442)/N442</f>
        <v>0</v>
      </c>
      <c r="P443" s="2">
        <v>40760</v>
      </c>
      <c r="Q443" s="1">
        <v>28</v>
      </c>
      <c r="R443" s="1"/>
    </row>
    <row r="444" spans="1:18" x14ac:dyDescent="0.2">
      <c r="A444" s="3">
        <v>443</v>
      </c>
      <c r="B444" s="2">
        <v>40768</v>
      </c>
      <c r="C444" s="1">
        <v>0.204411640674585</v>
      </c>
      <c r="D444" s="1">
        <v>0.18367018550634401</v>
      </c>
      <c r="E444" s="1">
        <v>192</v>
      </c>
      <c r="F444" s="1">
        <v>192</v>
      </c>
      <c r="G444" s="1">
        <v>27.120243055555601</v>
      </c>
      <c r="H444" s="1">
        <v>1</v>
      </c>
      <c r="I444" s="1">
        <v>1</v>
      </c>
      <c r="J444" s="1">
        <v>8</v>
      </c>
      <c r="K444" s="1">
        <v>2011</v>
      </c>
      <c r="L444" s="1">
        <v>1</v>
      </c>
      <c r="N444" s="1">
        <v>1</v>
      </c>
      <c r="O444" s="1">
        <f>(N444-N443)/N443</f>
        <v>0.23870967741935439</v>
      </c>
      <c r="P444" s="2">
        <v>40768</v>
      </c>
      <c r="Q444" s="1">
        <v>29</v>
      </c>
      <c r="R444" s="1"/>
    </row>
    <row r="445" spans="1:18" x14ac:dyDescent="0.2">
      <c r="A445" s="3">
        <v>444</v>
      </c>
      <c r="B445" s="2">
        <v>40776</v>
      </c>
      <c r="C445" s="1">
        <v>0.17383585079216701</v>
      </c>
      <c r="D445" s="1">
        <v>0.14728987465302101</v>
      </c>
      <c r="E445" s="1">
        <v>192</v>
      </c>
      <c r="F445" s="1">
        <v>192</v>
      </c>
      <c r="G445" s="1">
        <v>27.41765625</v>
      </c>
      <c r="H445" s="1">
        <v>1</v>
      </c>
      <c r="I445" s="1">
        <v>0.91145833333333304</v>
      </c>
      <c r="J445" s="1">
        <v>8</v>
      </c>
      <c r="K445" s="1">
        <v>2011</v>
      </c>
      <c r="L445" s="1">
        <v>1</v>
      </c>
      <c r="N445" s="1">
        <v>1</v>
      </c>
      <c r="O445" s="1">
        <f>(N445-N444)/N444</f>
        <v>0</v>
      </c>
      <c r="P445" s="2">
        <v>40776</v>
      </c>
      <c r="Q445" s="1">
        <v>30</v>
      </c>
      <c r="R445" s="1"/>
    </row>
    <row r="446" spans="1:18" x14ac:dyDescent="0.2">
      <c r="A446" s="3">
        <v>445</v>
      </c>
      <c r="B446" s="2">
        <v>40784</v>
      </c>
      <c r="C446" s="1">
        <v>0.15552640687557101</v>
      </c>
      <c r="D446" s="1">
        <v>0.12740841880440701</v>
      </c>
      <c r="E446" s="1">
        <v>192</v>
      </c>
      <c r="F446" s="1">
        <v>175</v>
      </c>
      <c r="G446" s="1">
        <v>27.4564756944444</v>
      </c>
      <c r="H446" s="1">
        <v>0.91145833333333304</v>
      </c>
      <c r="I446" s="1">
        <v>0.69791666666666696</v>
      </c>
      <c r="J446" s="1">
        <v>8</v>
      </c>
      <c r="K446" s="1">
        <v>2011</v>
      </c>
      <c r="L446" s="1">
        <v>0.91145833333333304</v>
      </c>
      <c r="N446" s="1">
        <v>0.91145833333333304</v>
      </c>
      <c r="O446" s="1">
        <f>(N446-N445)/N445</f>
        <v>-8.8541666666666963E-2</v>
      </c>
      <c r="P446" s="2">
        <v>40784</v>
      </c>
      <c r="Q446" s="1">
        <v>31</v>
      </c>
      <c r="R446" s="1"/>
    </row>
    <row r="447" spans="1:18" x14ac:dyDescent="0.2">
      <c r="A447" s="3">
        <v>446</v>
      </c>
      <c r="B447" s="2">
        <v>40792</v>
      </c>
      <c r="C447" s="1">
        <v>0.17103689083208601</v>
      </c>
      <c r="D447" s="1">
        <v>0.13903122246265401</v>
      </c>
      <c r="E447" s="1">
        <v>192</v>
      </c>
      <c r="F447" s="1">
        <v>134</v>
      </c>
      <c r="G447" s="1">
        <v>27.354131944444401</v>
      </c>
      <c r="H447" s="1">
        <v>0.69791666666666696</v>
      </c>
      <c r="I447" s="1">
        <v>0.51041666666666696</v>
      </c>
      <c r="J447" s="1">
        <v>9</v>
      </c>
      <c r="K447" s="1">
        <v>2011</v>
      </c>
      <c r="L447" s="1">
        <v>0.69791666666666696</v>
      </c>
      <c r="N447" s="1">
        <v>0.69791666666666696</v>
      </c>
      <c r="O447" s="1">
        <f>(N447-N446)/N446</f>
        <v>-0.23428571428571371</v>
      </c>
      <c r="P447" s="2">
        <v>40792</v>
      </c>
      <c r="Q447" s="1">
        <v>32</v>
      </c>
      <c r="R447" s="1"/>
    </row>
    <row r="448" spans="1:18" x14ac:dyDescent="0.2">
      <c r="A448" s="3">
        <v>447</v>
      </c>
      <c r="B448" s="5">
        <v>40800</v>
      </c>
      <c r="C448" s="1">
        <v>0.139522873624495</v>
      </c>
      <c r="D448" s="1">
        <v>0.12516316771507299</v>
      </c>
      <c r="E448" s="1">
        <v>192</v>
      </c>
      <c r="F448" s="1">
        <v>98</v>
      </c>
      <c r="G448" s="1">
        <v>27.525538194444401</v>
      </c>
      <c r="H448" s="1">
        <v>0.51041666666666696</v>
      </c>
      <c r="I448" s="1">
        <v>0.34375</v>
      </c>
      <c r="J448" s="1">
        <v>9</v>
      </c>
      <c r="K448" s="1">
        <v>2011</v>
      </c>
      <c r="L448" s="1">
        <v>0.51041666666666696</v>
      </c>
      <c r="N448" s="1">
        <v>0.51041666666666696</v>
      </c>
      <c r="O448" s="1">
        <f>(N448-N447)/N447</f>
        <v>-0.26865671641791034</v>
      </c>
      <c r="P448" s="5">
        <v>40800</v>
      </c>
      <c r="Q448" s="1">
        <v>33</v>
      </c>
      <c r="R448" s="1"/>
    </row>
    <row r="449" spans="1:18" x14ac:dyDescent="0.2">
      <c r="A449" s="3">
        <v>448</v>
      </c>
      <c r="B449" s="2">
        <v>40808</v>
      </c>
      <c r="C449" s="1">
        <v>0.13870087585278901</v>
      </c>
      <c r="D449" s="1" t="s">
        <v>0</v>
      </c>
      <c r="E449" s="1">
        <v>192</v>
      </c>
      <c r="F449" s="1">
        <v>66</v>
      </c>
      <c r="G449" s="1">
        <v>27.514114583333299</v>
      </c>
      <c r="H449" s="1">
        <v>0.34375</v>
      </c>
      <c r="I449" s="1">
        <v>0.74479166666666696</v>
      </c>
      <c r="J449" s="1">
        <v>9</v>
      </c>
      <c r="K449" s="1">
        <v>2011</v>
      </c>
      <c r="L449" s="1"/>
      <c r="M449" s="1">
        <v>0.34375</v>
      </c>
      <c r="N449" s="1">
        <v>0.34375</v>
      </c>
      <c r="O449" s="4">
        <f>(N449-N448)/N448</f>
        <v>-0.32653061224489838</v>
      </c>
      <c r="P449" s="2">
        <v>40808</v>
      </c>
      <c r="Q449" s="1">
        <v>34</v>
      </c>
      <c r="R449" s="1"/>
    </row>
    <row r="450" spans="1:18" x14ac:dyDescent="0.2">
      <c r="A450" s="3">
        <v>449</v>
      </c>
      <c r="B450" s="5">
        <v>40816</v>
      </c>
      <c r="C450" s="1">
        <v>0.14625568882777101</v>
      </c>
      <c r="D450" s="1">
        <v>0.12776021510362601</v>
      </c>
      <c r="E450" s="1">
        <v>192</v>
      </c>
      <c r="F450" s="1">
        <v>143</v>
      </c>
      <c r="G450" s="1">
        <v>27.743472222222199</v>
      </c>
      <c r="H450" s="1">
        <v>0.74479166666666696</v>
      </c>
      <c r="I450" s="1">
        <v>0.75520833333333304</v>
      </c>
      <c r="J450" s="1">
        <v>9</v>
      </c>
      <c r="K450" s="1">
        <v>2011</v>
      </c>
      <c r="L450" s="1">
        <v>0.74479166666666696</v>
      </c>
      <c r="N450" s="1">
        <v>0.74479166666666696</v>
      </c>
      <c r="O450" s="4">
        <f>(N450-N449)/N449</f>
        <v>1.1666666666666676</v>
      </c>
      <c r="P450" s="5">
        <v>40816</v>
      </c>
      <c r="Q450" s="1">
        <v>35</v>
      </c>
      <c r="R450" s="1"/>
    </row>
    <row r="451" spans="1:18" x14ac:dyDescent="0.2">
      <c r="A451" s="3">
        <v>450</v>
      </c>
      <c r="B451" s="2">
        <v>40824</v>
      </c>
      <c r="C451" s="1">
        <v>0.124491640772575</v>
      </c>
      <c r="D451" s="1">
        <v>0.13558104013403299</v>
      </c>
      <c r="E451" s="1">
        <v>192</v>
      </c>
      <c r="F451" s="1">
        <v>145</v>
      </c>
      <c r="G451" s="1">
        <v>28.122447916666701</v>
      </c>
      <c r="H451" s="1">
        <v>0.75520833333333304</v>
      </c>
      <c r="I451" s="1">
        <v>0.546875</v>
      </c>
      <c r="J451" s="1">
        <v>10</v>
      </c>
      <c r="K451" s="1">
        <v>2011</v>
      </c>
      <c r="L451" s="1">
        <v>0.75520833333333304</v>
      </c>
      <c r="N451" s="1">
        <v>0.75520833333333304</v>
      </c>
      <c r="O451" s="1">
        <f>(N451-N450)/N450</f>
        <v>1.3986013986013186E-2</v>
      </c>
      <c r="P451" s="2">
        <v>40824</v>
      </c>
      <c r="Q451" s="1">
        <v>36</v>
      </c>
      <c r="R451" s="1"/>
    </row>
    <row r="452" spans="1:18" x14ac:dyDescent="0.2">
      <c r="A452" s="3">
        <v>451</v>
      </c>
      <c r="B452" s="2">
        <v>40832</v>
      </c>
      <c r="C452" s="1">
        <v>9.7606439154440797E-2</v>
      </c>
      <c r="D452" s="1">
        <v>0.101850468665361</v>
      </c>
      <c r="E452" s="1">
        <v>192</v>
      </c>
      <c r="F452" s="1">
        <v>105</v>
      </c>
      <c r="G452" s="1">
        <v>28.869375000000002</v>
      </c>
      <c r="H452" s="1">
        <v>0.546875</v>
      </c>
      <c r="I452" s="1">
        <v>0.97916666666666696</v>
      </c>
      <c r="J452" s="1">
        <v>10</v>
      </c>
      <c r="K452" s="1">
        <v>2011</v>
      </c>
      <c r="L452" s="1">
        <v>0.546875</v>
      </c>
      <c r="N452" s="1">
        <v>0.546875</v>
      </c>
      <c r="O452" s="1">
        <f>(N452-N451)/N451</f>
        <v>-0.27586206896551696</v>
      </c>
      <c r="P452" s="2">
        <v>40832</v>
      </c>
      <c r="Q452" s="1">
        <v>37</v>
      </c>
      <c r="R452" s="1"/>
    </row>
    <row r="453" spans="1:18" x14ac:dyDescent="0.2">
      <c r="A453" s="3">
        <v>452</v>
      </c>
      <c r="B453" s="2">
        <v>40840</v>
      </c>
      <c r="C453" s="1">
        <v>6.9620082584711196E-2</v>
      </c>
      <c r="D453" s="1">
        <v>6.2851283699274105E-2</v>
      </c>
      <c r="E453" s="1">
        <v>192</v>
      </c>
      <c r="F453" s="1">
        <v>188</v>
      </c>
      <c r="G453" s="1">
        <v>29.023541666666699</v>
      </c>
      <c r="H453" s="1">
        <v>0.97916666666666696</v>
      </c>
      <c r="I453" s="1">
        <v>0.44791666666666702</v>
      </c>
      <c r="J453" s="1">
        <v>10</v>
      </c>
      <c r="K453" s="1">
        <v>2011</v>
      </c>
      <c r="L453" s="1">
        <v>0.97916666666666696</v>
      </c>
      <c r="N453" s="1">
        <v>0.97916666666666696</v>
      </c>
      <c r="O453" s="1">
        <f>(N453-N452)/N452</f>
        <v>0.790476190476191</v>
      </c>
      <c r="P453" s="5">
        <v>40840</v>
      </c>
      <c r="Q453" s="1">
        <v>38</v>
      </c>
      <c r="R453" s="1"/>
    </row>
    <row r="454" spans="1:18" x14ac:dyDescent="0.2">
      <c r="A454" s="3">
        <v>453</v>
      </c>
      <c r="B454" s="2">
        <v>40848</v>
      </c>
      <c r="C454" s="1">
        <v>6.9102702506198793E-2</v>
      </c>
      <c r="D454" s="1">
        <v>6.2461898972590801E-2</v>
      </c>
      <c r="E454" s="1">
        <v>192</v>
      </c>
      <c r="F454" s="1">
        <v>86</v>
      </c>
      <c r="G454" s="1">
        <v>28.8240625</v>
      </c>
      <c r="H454" s="1">
        <v>0.44791666666666702</v>
      </c>
      <c r="I454" s="1">
        <v>0.59895833333333304</v>
      </c>
      <c r="J454" s="1">
        <v>11</v>
      </c>
      <c r="K454" s="1">
        <v>2011</v>
      </c>
      <c r="L454" s="1"/>
      <c r="M454" s="1">
        <v>0.44791666666666702</v>
      </c>
      <c r="N454" s="1">
        <v>0.44791666666666702</v>
      </c>
      <c r="O454" s="4">
        <f>(N454-N453)/N453</f>
        <v>-0.54255319148936154</v>
      </c>
      <c r="P454" s="2">
        <v>40848</v>
      </c>
      <c r="Q454" s="1">
        <v>39</v>
      </c>
      <c r="R454" s="1"/>
    </row>
    <row r="455" spans="1:18" x14ac:dyDescent="0.2">
      <c r="A455" s="3">
        <v>454</v>
      </c>
      <c r="B455" s="5">
        <v>40856</v>
      </c>
      <c r="C455" s="1">
        <v>8.1095863423011796E-2</v>
      </c>
      <c r="D455" s="1" t="s">
        <v>0</v>
      </c>
      <c r="E455" s="1">
        <v>192</v>
      </c>
      <c r="F455" s="1">
        <v>115</v>
      </c>
      <c r="G455" s="1">
        <v>29.147795138888899</v>
      </c>
      <c r="H455" s="1">
        <v>0.59895833333333304</v>
      </c>
      <c r="I455" s="1">
        <v>0.23958333333333301</v>
      </c>
      <c r="J455" s="1">
        <v>11</v>
      </c>
      <c r="K455" s="1">
        <v>2011</v>
      </c>
      <c r="L455" s="1"/>
      <c r="M455" s="1">
        <v>0.59895833333333304</v>
      </c>
      <c r="N455" s="1">
        <v>0.59895833333333304</v>
      </c>
      <c r="O455" s="1">
        <f>(N455-N454)/N454</f>
        <v>0.33720930232557966</v>
      </c>
      <c r="P455" s="2">
        <v>40856</v>
      </c>
      <c r="Q455" s="1">
        <v>40</v>
      </c>
      <c r="R455" s="1"/>
    </row>
    <row r="456" spans="1:18" x14ac:dyDescent="0.2">
      <c r="A456" s="3">
        <v>455</v>
      </c>
      <c r="B456" s="2">
        <v>40864</v>
      </c>
      <c r="C456" s="1">
        <v>6.5709883449216397E-2</v>
      </c>
      <c r="D456" s="1">
        <v>6.9982655346393599E-2</v>
      </c>
      <c r="E456" s="1">
        <v>192</v>
      </c>
      <c r="F456" s="1">
        <v>46</v>
      </c>
      <c r="G456" s="1">
        <v>29.220347222222198</v>
      </c>
      <c r="H456" s="1">
        <v>0.23958333333333301</v>
      </c>
      <c r="I456" s="1">
        <v>0.25520833333333298</v>
      </c>
      <c r="J456" s="1">
        <v>11</v>
      </c>
      <c r="K456" s="1">
        <v>2011</v>
      </c>
      <c r="L456" s="1"/>
      <c r="M456" s="1">
        <v>0.23958333333333301</v>
      </c>
      <c r="N456" s="1">
        <v>0.23958333333333301</v>
      </c>
      <c r="O456" s="1">
        <f>(N456-N455)/N455</f>
        <v>-0.60000000000000031</v>
      </c>
      <c r="P456" s="2">
        <v>40864</v>
      </c>
      <c r="Q456" s="1">
        <v>41</v>
      </c>
      <c r="R456" s="1"/>
    </row>
    <row r="457" spans="1:18" x14ac:dyDescent="0.2">
      <c r="A457" s="3">
        <v>456</v>
      </c>
      <c r="B457" s="2">
        <v>40872</v>
      </c>
      <c r="C457" s="1">
        <v>7.0980281162782002E-2</v>
      </c>
      <c r="D457" s="1">
        <v>5.8240565781792E-2</v>
      </c>
      <c r="E457" s="1">
        <v>192</v>
      </c>
      <c r="F457" s="1">
        <v>49</v>
      </c>
      <c r="G457" s="1">
        <v>29.044340277777799</v>
      </c>
      <c r="H457" s="1">
        <v>0.25520833333333298</v>
      </c>
      <c r="I457" s="1">
        <v>3.125E-2</v>
      </c>
      <c r="J457" s="1">
        <v>11</v>
      </c>
      <c r="K457" s="1">
        <v>2011</v>
      </c>
      <c r="L457" s="1"/>
      <c r="M457" s="1">
        <v>0.25520833333333298</v>
      </c>
      <c r="N457" s="1">
        <v>0.25520833333333298</v>
      </c>
      <c r="O457" s="1">
        <f>(N457-N456)/N456</f>
        <v>6.5217391304347797E-2</v>
      </c>
      <c r="P457" s="2">
        <v>40872</v>
      </c>
      <c r="Q457" s="1">
        <v>42</v>
      </c>
      <c r="R457" s="1"/>
    </row>
    <row r="458" spans="1:18" x14ac:dyDescent="0.2">
      <c r="A458" s="3">
        <v>457</v>
      </c>
      <c r="B458" s="2">
        <v>40880</v>
      </c>
      <c r="C458" s="1">
        <v>7.0512265372925806E-2</v>
      </c>
      <c r="D458" s="1">
        <v>6.1851248145103503E-2</v>
      </c>
      <c r="E458" s="1">
        <v>192</v>
      </c>
      <c r="F458" s="1">
        <v>6</v>
      </c>
      <c r="G458" s="1">
        <v>29.276093750000001</v>
      </c>
      <c r="H458" s="1">
        <v>3.125E-2</v>
      </c>
      <c r="I458" s="1">
        <v>5.2083333333333296E-3</v>
      </c>
      <c r="J458" s="1">
        <v>12</v>
      </c>
      <c r="K458" s="1">
        <v>2011</v>
      </c>
      <c r="L458" s="1"/>
      <c r="M458" s="1">
        <v>3.125E-2</v>
      </c>
      <c r="N458" s="1">
        <v>3.125E-2</v>
      </c>
      <c r="O458" s="1">
        <f>(N458-N457)/N457</f>
        <v>-0.87755102040816313</v>
      </c>
      <c r="P458" s="2">
        <v>40880</v>
      </c>
      <c r="Q458" s="1">
        <v>43</v>
      </c>
      <c r="R458" s="1"/>
    </row>
    <row r="459" spans="1:18" x14ac:dyDescent="0.2">
      <c r="A459" s="3">
        <v>458</v>
      </c>
      <c r="B459" s="2">
        <v>40888</v>
      </c>
      <c r="C459" s="1">
        <v>6.32066942884454E-2</v>
      </c>
      <c r="D459" s="1">
        <v>5.3258597229917798E-2</v>
      </c>
      <c r="E459" s="1">
        <v>192</v>
      </c>
      <c r="F459" s="1">
        <v>1</v>
      </c>
      <c r="G459" s="1">
        <v>29.204461805555599</v>
      </c>
      <c r="H459" s="1">
        <v>5.2083333333333296E-3</v>
      </c>
      <c r="I459" s="1">
        <v>0</v>
      </c>
      <c r="J459" s="1">
        <v>12</v>
      </c>
      <c r="K459" s="1">
        <v>2011</v>
      </c>
      <c r="L459" s="1"/>
      <c r="M459" s="1">
        <v>5.2083333333333296E-3</v>
      </c>
      <c r="N459" s="1">
        <v>5.2083333333333296E-3</v>
      </c>
      <c r="O459" s="1">
        <f>(N459-N458)/N458</f>
        <v>-0.83333333333333348</v>
      </c>
      <c r="P459" s="2">
        <v>40888</v>
      </c>
      <c r="Q459" s="1">
        <v>44</v>
      </c>
      <c r="R459" s="1"/>
    </row>
    <row r="460" spans="1:18" x14ac:dyDescent="0.2">
      <c r="A460" s="3">
        <v>459</v>
      </c>
      <c r="B460" s="2">
        <v>40896</v>
      </c>
      <c r="C460" s="1">
        <v>7.1139620067618703E-2</v>
      </c>
      <c r="D460" s="1">
        <v>5.8634934946894597E-2</v>
      </c>
      <c r="E460" s="1">
        <v>192</v>
      </c>
      <c r="F460" s="1">
        <v>0</v>
      </c>
      <c r="G460" s="1">
        <v>28.9320138888889</v>
      </c>
      <c r="H460" s="1">
        <v>0</v>
      </c>
      <c r="I460" s="1">
        <v>0</v>
      </c>
      <c r="J460" s="1">
        <v>12</v>
      </c>
      <c r="K460" s="1">
        <v>2011</v>
      </c>
      <c r="L460" s="1"/>
      <c r="M460" s="1">
        <v>1E-3</v>
      </c>
      <c r="N460" s="1">
        <v>1E-3</v>
      </c>
      <c r="O460" s="1">
        <f>(N460-N459)/N459</f>
        <v>-0.80799999999999983</v>
      </c>
      <c r="P460" s="2">
        <v>40896</v>
      </c>
      <c r="Q460" s="1">
        <v>45</v>
      </c>
      <c r="R460" s="1"/>
    </row>
    <row r="461" spans="1:18" x14ac:dyDescent="0.2">
      <c r="A461" s="3">
        <v>460</v>
      </c>
      <c r="B461" s="2">
        <v>40904</v>
      </c>
      <c r="C461" s="1">
        <v>7.2944794065104096E-2</v>
      </c>
      <c r="D461" s="1">
        <v>6.19349610060453E-2</v>
      </c>
      <c r="E461" s="1">
        <v>120</v>
      </c>
      <c r="F461" s="1">
        <v>0</v>
      </c>
      <c r="G461" s="1">
        <v>28.570638888888901</v>
      </c>
      <c r="H461" s="1">
        <v>0</v>
      </c>
      <c r="I461" s="1">
        <v>0</v>
      </c>
      <c r="J461" s="1">
        <v>12</v>
      </c>
      <c r="K461" s="1">
        <v>2011</v>
      </c>
      <c r="L461" s="1"/>
      <c r="M461" s="1">
        <v>1E-3</v>
      </c>
      <c r="N461" s="1">
        <v>1E-3</v>
      </c>
      <c r="O461" s="1">
        <f>(N461-N460)/N460</f>
        <v>0</v>
      </c>
      <c r="P461" s="2">
        <v>40904</v>
      </c>
      <c r="Q461" s="1">
        <v>46</v>
      </c>
      <c r="R461" s="1"/>
    </row>
    <row r="462" spans="1:18" x14ac:dyDescent="0.2">
      <c r="A462" s="3">
        <v>461</v>
      </c>
      <c r="B462" s="2">
        <v>40909</v>
      </c>
      <c r="C462" s="1">
        <v>7.3469387716613696E-2</v>
      </c>
      <c r="D462" s="1">
        <v>9.7246768573919895E-2</v>
      </c>
      <c r="E462" s="1">
        <v>192</v>
      </c>
      <c r="F462" s="1">
        <v>0</v>
      </c>
      <c r="G462" s="1">
        <v>28.5082465277778</v>
      </c>
      <c r="H462" s="1">
        <v>0</v>
      </c>
      <c r="I462" s="1">
        <v>5.2083333333333296E-3</v>
      </c>
      <c r="J462" s="1">
        <v>1</v>
      </c>
      <c r="K462" s="1">
        <v>2012</v>
      </c>
      <c r="L462" s="1"/>
      <c r="M462" s="1">
        <v>1E-3</v>
      </c>
      <c r="N462" s="1">
        <v>1E-3</v>
      </c>
      <c r="O462" s="1">
        <f>(N462-N461)/N461</f>
        <v>0</v>
      </c>
      <c r="P462" s="2">
        <v>40909</v>
      </c>
      <c r="Q462" s="1">
        <v>1</v>
      </c>
      <c r="R462" s="1"/>
    </row>
    <row r="463" spans="1:18" x14ac:dyDescent="0.2">
      <c r="A463" s="3">
        <v>462</v>
      </c>
      <c r="B463" s="2">
        <v>40917</v>
      </c>
      <c r="C463" s="1">
        <v>9.1958579160934403E-2</v>
      </c>
      <c r="D463" s="1">
        <v>7.1754176169633893E-2</v>
      </c>
      <c r="E463" s="1">
        <v>192</v>
      </c>
      <c r="F463" s="1">
        <v>1</v>
      </c>
      <c r="G463" s="1">
        <v>28.329809027777799</v>
      </c>
      <c r="H463" s="1">
        <v>5.2083333333333296E-3</v>
      </c>
      <c r="I463" s="1">
        <v>5.2110474205315296E-3</v>
      </c>
      <c r="J463" s="1">
        <v>1</v>
      </c>
      <c r="K463" s="1">
        <v>2012</v>
      </c>
      <c r="L463" s="1"/>
      <c r="M463" s="1">
        <v>5.2083333333333296E-3</v>
      </c>
      <c r="N463" s="1">
        <v>5.2083333333333296E-3</v>
      </c>
      <c r="O463" s="1">
        <f>(N463-N462)/N462</f>
        <v>4.2083333333333295</v>
      </c>
      <c r="P463" s="2">
        <v>40917</v>
      </c>
      <c r="Q463" s="1">
        <v>2</v>
      </c>
      <c r="R463" s="1"/>
    </row>
    <row r="464" spans="1:18" x14ac:dyDescent="0.2">
      <c r="A464" s="3">
        <v>463</v>
      </c>
      <c r="B464" s="2">
        <v>40925</v>
      </c>
      <c r="C464" s="1" t="s">
        <v>0</v>
      </c>
      <c r="D464" s="1" t="s">
        <v>0</v>
      </c>
      <c r="E464" s="1">
        <v>191.9</v>
      </c>
      <c r="F464" s="1">
        <v>1</v>
      </c>
      <c r="G464" s="1">
        <v>27.967777777777801</v>
      </c>
      <c r="H464" s="1">
        <v>5.2110474205315296E-3</v>
      </c>
      <c r="I464" s="1">
        <v>1.0416666666666701E-2</v>
      </c>
      <c r="J464" s="1">
        <v>1</v>
      </c>
      <c r="K464" s="1">
        <v>2012</v>
      </c>
      <c r="L464" s="1"/>
      <c r="M464" s="1">
        <v>5.2110474205315296E-3</v>
      </c>
      <c r="N464" s="1">
        <v>5.2110474205315296E-3</v>
      </c>
      <c r="O464" s="1">
        <f>(N464-N463)/N463</f>
        <v>5.211047420544127E-4</v>
      </c>
      <c r="P464" s="2">
        <v>40925</v>
      </c>
      <c r="Q464" s="1">
        <v>3</v>
      </c>
      <c r="R464" s="1"/>
    </row>
    <row r="465" spans="1:18" x14ac:dyDescent="0.2">
      <c r="A465" s="3">
        <v>464</v>
      </c>
      <c r="B465" s="2">
        <v>40933</v>
      </c>
      <c r="C465" s="1" t="s">
        <v>0</v>
      </c>
      <c r="D465" s="1" t="s">
        <v>0</v>
      </c>
      <c r="E465" s="1">
        <v>192</v>
      </c>
      <c r="F465" s="1">
        <v>2</v>
      </c>
      <c r="G465" s="1">
        <v>27.977343749999999</v>
      </c>
      <c r="H465" s="1">
        <v>1.0416666666666701E-2</v>
      </c>
      <c r="I465" s="1">
        <v>2.0833333333333301E-2</v>
      </c>
      <c r="J465" s="1">
        <v>1</v>
      </c>
      <c r="K465" s="1">
        <v>2012</v>
      </c>
      <c r="L465" s="1"/>
      <c r="M465" s="1">
        <v>1.0416666666666701E-2</v>
      </c>
      <c r="N465" s="1">
        <v>1.0416666666666701E-2</v>
      </c>
      <c r="O465" s="1">
        <f>(N465-N464)/N464</f>
        <v>0.99895833333333883</v>
      </c>
      <c r="P465" s="2">
        <v>40933</v>
      </c>
      <c r="Q465" s="1">
        <v>4</v>
      </c>
      <c r="R465" s="1"/>
    </row>
    <row r="466" spans="1:18" x14ac:dyDescent="0.2">
      <c r="A466" s="3">
        <v>465</v>
      </c>
      <c r="B466" s="2">
        <v>40941</v>
      </c>
      <c r="C466" s="1">
        <v>9.2497003997893998E-2</v>
      </c>
      <c r="D466" s="1">
        <v>8.9467978725830705E-2</v>
      </c>
      <c r="E466" s="1">
        <v>192</v>
      </c>
      <c r="F466" s="1">
        <v>4</v>
      </c>
      <c r="G466" s="1">
        <v>28.322256944444401</v>
      </c>
      <c r="H466" s="1">
        <v>2.0833333333333301E-2</v>
      </c>
      <c r="I466" s="1">
        <v>1.0416666666666701E-2</v>
      </c>
      <c r="J466" s="1">
        <v>2</v>
      </c>
      <c r="K466" s="1">
        <v>2012</v>
      </c>
      <c r="L466" s="1"/>
      <c r="M466" s="1">
        <v>2.0833333333333301E-2</v>
      </c>
      <c r="N466" s="1">
        <v>2.0833333333333301E-2</v>
      </c>
      <c r="O466" s="1">
        <f>(N466-N465)/N465</f>
        <v>0.99999999999999034</v>
      </c>
      <c r="P466" s="2">
        <v>40941</v>
      </c>
      <c r="Q466" s="1">
        <v>5</v>
      </c>
      <c r="R466" s="1"/>
    </row>
    <row r="467" spans="1:18" x14ac:dyDescent="0.2">
      <c r="A467" s="3">
        <v>466</v>
      </c>
      <c r="B467" s="2">
        <v>40949</v>
      </c>
      <c r="C467" s="1">
        <v>9.8365608668891602E-2</v>
      </c>
      <c r="D467" s="1">
        <v>9.4678765783707305E-2</v>
      </c>
      <c r="E467" s="1">
        <v>192</v>
      </c>
      <c r="F467" s="1">
        <v>2</v>
      </c>
      <c r="G467" s="1">
        <v>28.6498958333333</v>
      </c>
      <c r="H467" s="1">
        <v>1.0416666666666701E-2</v>
      </c>
      <c r="I467" s="1">
        <v>5.2083333333333296E-3</v>
      </c>
      <c r="J467" s="1">
        <v>2</v>
      </c>
      <c r="K467" s="1">
        <v>2012</v>
      </c>
      <c r="L467" s="1"/>
      <c r="M467" s="1">
        <v>1.0416666666666701E-2</v>
      </c>
      <c r="N467" s="1">
        <v>1.0416666666666701E-2</v>
      </c>
      <c r="O467" s="1">
        <f>(N467-N466)/N466</f>
        <v>-0.49999999999999756</v>
      </c>
      <c r="P467" s="2">
        <v>40949</v>
      </c>
      <c r="Q467" s="1">
        <v>6</v>
      </c>
      <c r="R467" s="1"/>
    </row>
    <row r="468" spans="1:18" x14ac:dyDescent="0.2">
      <c r="A468" s="3">
        <v>467</v>
      </c>
      <c r="B468" s="2">
        <v>40957</v>
      </c>
      <c r="C468" s="1">
        <v>0.12012966992143501</v>
      </c>
      <c r="D468" s="1">
        <v>0.105682199199994</v>
      </c>
      <c r="E468" s="1">
        <v>192</v>
      </c>
      <c r="F468" s="1">
        <v>1</v>
      </c>
      <c r="G468" s="1">
        <v>28.127899305555601</v>
      </c>
      <c r="H468" s="1">
        <v>5.2083333333333296E-3</v>
      </c>
      <c r="I468" s="1">
        <v>0</v>
      </c>
      <c r="J468" s="1">
        <v>2</v>
      </c>
      <c r="K468" s="1">
        <v>2012</v>
      </c>
      <c r="L468" s="1"/>
      <c r="M468" s="1">
        <v>5.2083333333333296E-3</v>
      </c>
      <c r="N468" s="1">
        <v>5.2083333333333296E-3</v>
      </c>
      <c r="O468" s="1">
        <f>(N468-N467)/N467</f>
        <v>-0.500000000000002</v>
      </c>
      <c r="P468" s="2">
        <v>40957</v>
      </c>
      <c r="Q468" s="1">
        <v>7</v>
      </c>
      <c r="R468" s="1"/>
    </row>
    <row r="469" spans="1:18" x14ac:dyDescent="0.2">
      <c r="A469" s="3">
        <v>468</v>
      </c>
      <c r="B469" s="2">
        <v>40965</v>
      </c>
      <c r="C469" s="1">
        <v>0.141273764207175</v>
      </c>
      <c r="D469" s="1">
        <v>0.16554527729749699</v>
      </c>
      <c r="E469" s="1">
        <v>191.7</v>
      </c>
      <c r="F469" s="1">
        <v>0</v>
      </c>
      <c r="G469" s="1">
        <v>28.334461805555598</v>
      </c>
      <c r="H469" s="1">
        <v>0</v>
      </c>
      <c r="I469" s="1">
        <v>0</v>
      </c>
      <c r="J469" s="1">
        <v>2</v>
      </c>
      <c r="K469" s="1">
        <v>2012</v>
      </c>
      <c r="L469" s="1"/>
      <c r="M469" s="1">
        <v>1E-3</v>
      </c>
      <c r="N469" s="1">
        <v>1E-3</v>
      </c>
      <c r="O469" s="1">
        <f>(N469-N468)/N468</f>
        <v>-0.80799999999999983</v>
      </c>
      <c r="P469" s="2">
        <v>40965</v>
      </c>
      <c r="Q469" s="1">
        <v>8</v>
      </c>
      <c r="R469" s="1"/>
    </row>
    <row r="470" spans="1:18" x14ac:dyDescent="0.2">
      <c r="A470" s="3">
        <v>469</v>
      </c>
      <c r="B470" s="2">
        <v>40973</v>
      </c>
      <c r="C470" s="1" t="s">
        <v>0</v>
      </c>
      <c r="D470" s="1" t="s">
        <v>0</v>
      </c>
      <c r="E470" s="1">
        <v>192</v>
      </c>
      <c r="F470" s="1">
        <v>0</v>
      </c>
      <c r="G470" s="1">
        <v>28.120520833333298</v>
      </c>
      <c r="H470" s="1">
        <v>0</v>
      </c>
      <c r="I470" s="1">
        <v>5.2083333333333296E-3</v>
      </c>
      <c r="J470" s="1">
        <v>3</v>
      </c>
      <c r="K470" s="1">
        <v>2012</v>
      </c>
      <c r="L470" s="1"/>
      <c r="M470" s="1">
        <v>1E-3</v>
      </c>
      <c r="N470" s="1">
        <v>1E-3</v>
      </c>
      <c r="O470" s="1">
        <f>(N470-N469)/N469</f>
        <v>0</v>
      </c>
      <c r="P470" s="2">
        <v>40973</v>
      </c>
      <c r="Q470" s="1">
        <v>9</v>
      </c>
      <c r="R470" s="1"/>
    </row>
    <row r="471" spans="1:18" x14ac:dyDescent="0.2">
      <c r="A471" s="3">
        <v>470</v>
      </c>
      <c r="B471" s="2">
        <v>40981</v>
      </c>
      <c r="C471" s="1">
        <v>0.121483987441198</v>
      </c>
      <c r="D471" s="1">
        <v>0.12348593150576</v>
      </c>
      <c r="E471" s="1">
        <v>192</v>
      </c>
      <c r="F471" s="1">
        <v>1</v>
      </c>
      <c r="G471" s="1">
        <v>28.607743055555598</v>
      </c>
      <c r="H471" s="1">
        <v>5.2083333333333296E-3</v>
      </c>
      <c r="I471" s="1">
        <v>0</v>
      </c>
      <c r="J471" s="1">
        <v>3</v>
      </c>
      <c r="K471" s="1">
        <v>2012</v>
      </c>
      <c r="L471" s="1"/>
      <c r="M471" s="1">
        <v>5.2083333333333296E-3</v>
      </c>
      <c r="N471" s="1">
        <v>5.2083333333333296E-3</v>
      </c>
      <c r="O471" s="1">
        <f>(N471-N470)/N470</f>
        <v>4.2083333333333295</v>
      </c>
      <c r="P471" s="2">
        <v>40981</v>
      </c>
      <c r="Q471" s="1">
        <v>10</v>
      </c>
      <c r="R471" s="1"/>
    </row>
    <row r="472" spans="1:18" x14ac:dyDescent="0.2">
      <c r="A472" s="3">
        <v>471</v>
      </c>
      <c r="B472" s="2">
        <v>40989</v>
      </c>
      <c r="C472" s="1">
        <v>0.10260755163149</v>
      </c>
      <c r="D472" s="1">
        <v>0.107057077189287</v>
      </c>
      <c r="E472" s="1">
        <v>192</v>
      </c>
      <c r="F472" s="1">
        <v>0</v>
      </c>
      <c r="G472" s="1">
        <v>29.1796527777778</v>
      </c>
      <c r="H472" s="1">
        <v>0</v>
      </c>
      <c r="I472" s="1">
        <v>0</v>
      </c>
      <c r="J472" s="1">
        <v>3</v>
      </c>
      <c r="K472" s="1">
        <v>2012</v>
      </c>
      <c r="L472" s="1"/>
      <c r="M472" s="1">
        <v>1E-3</v>
      </c>
      <c r="N472" s="1">
        <v>1E-3</v>
      </c>
      <c r="O472" s="1">
        <f>(N472-N471)/N471</f>
        <v>-0.80799999999999983</v>
      </c>
      <c r="P472" s="2">
        <v>40989</v>
      </c>
      <c r="Q472" s="1">
        <v>11</v>
      </c>
      <c r="R472" s="1"/>
    </row>
    <row r="473" spans="1:18" x14ac:dyDescent="0.2">
      <c r="A473" s="3">
        <v>472</v>
      </c>
      <c r="B473" s="2">
        <v>40997</v>
      </c>
      <c r="C473" s="1">
        <v>0.12046716252022199</v>
      </c>
      <c r="D473" s="1">
        <v>0.111539997160435</v>
      </c>
      <c r="E473" s="1">
        <v>192</v>
      </c>
      <c r="F473" s="1">
        <v>0</v>
      </c>
      <c r="G473" s="1">
        <v>29.231510416666701</v>
      </c>
      <c r="H473" s="1">
        <v>0</v>
      </c>
      <c r="I473" s="1">
        <v>5.2083333333333296E-3</v>
      </c>
      <c r="J473" s="1">
        <v>3</v>
      </c>
      <c r="K473" s="1">
        <v>2012</v>
      </c>
      <c r="L473" s="1"/>
      <c r="M473" s="1">
        <v>1E-3</v>
      </c>
      <c r="N473" s="1">
        <v>1E-3</v>
      </c>
      <c r="O473" s="1">
        <f>(N473-N472)/N472</f>
        <v>0</v>
      </c>
      <c r="P473" s="2">
        <v>40997</v>
      </c>
      <c r="Q473" s="1">
        <v>12</v>
      </c>
      <c r="R473" s="1"/>
    </row>
    <row r="474" spans="1:18" x14ac:dyDescent="0.2">
      <c r="A474" s="3">
        <v>473</v>
      </c>
      <c r="B474" s="2">
        <v>41005</v>
      </c>
      <c r="C474" s="1">
        <v>0.103212020848647</v>
      </c>
      <c r="D474" s="1">
        <v>0.101851554214954</v>
      </c>
      <c r="E474" s="1">
        <v>192</v>
      </c>
      <c r="F474" s="1">
        <v>1</v>
      </c>
      <c r="G474" s="1">
        <v>29.270607638888901</v>
      </c>
      <c r="H474" s="1">
        <v>5.2083333333333296E-3</v>
      </c>
      <c r="I474" s="1">
        <v>0</v>
      </c>
      <c r="J474" s="1">
        <v>4</v>
      </c>
      <c r="K474" s="1">
        <v>2012</v>
      </c>
      <c r="L474" s="1"/>
      <c r="M474" s="1">
        <v>5.2083333333333296E-3</v>
      </c>
      <c r="N474" s="1">
        <v>5.2083333333333296E-3</v>
      </c>
      <c r="O474" s="1">
        <f>(N474-N473)/N473</f>
        <v>4.2083333333333295</v>
      </c>
      <c r="P474" s="2">
        <v>41005</v>
      </c>
      <c r="Q474" s="1">
        <v>13</v>
      </c>
      <c r="R474" s="1"/>
    </row>
    <row r="475" spans="1:18" x14ac:dyDescent="0.2">
      <c r="A475" s="3">
        <v>474</v>
      </c>
      <c r="B475" s="2">
        <v>41013</v>
      </c>
      <c r="C475" s="1">
        <v>0.107244576890895</v>
      </c>
      <c r="D475" s="1">
        <v>0.10553566118081401</v>
      </c>
      <c r="E475" s="1">
        <v>192</v>
      </c>
      <c r="F475" s="1">
        <v>0</v>
      </c>
      <c r="G475" s="1">
        <v>29.450850694444402</v>
      </c>
      <c r="H475" s="1">
        <v>0</v>
      </c>
      <c r="I475" s="1">
        <v>0</v>
      </c>
      <c r="J475" s="1">
        <v>4</v>
      </c>
      <c r="K475" s="1">
        <v>2012</v>
      </c>
      <c r="L475" s="1"/>
      <c r="M475" s="1">
        <v>1E-3</v>
      </c>
      <c r="N475" s="1">
        <v>1E-3</v>
      </c>
      <c r="O475" s="1">
        <f>(N475-N474)/N474</f>
        <v>-0.80799999999999983</v>
      </c>
      <c r="P475" s="2">
        <v>41013</v>
      </c>
      <c r="Q475" s="1">
        <v>14</v>
      </c>
      <c r="R475" s="1"/>
    </row>
    <row r="476" spans="1:18" x14ac:dyDescent="0.2">
      <c r="A476" s="3">
        <v>475</v>
      </c>
      <c r="B476" s="2">
        <v>41021</v>
      </c>
      <c r="C476" s="1">
        <v>0.108609234675383</v>
      </c>
      <c r="D476" s="1">
        <v>0.11236903816461601</v>
      </c>
      <c r="E476" s="1">
        <v>192</v>
      </c>
      <c r="F476" s="1">
        <v>0</v>
      </c>
      <c r="G476" s="1">
        <v>29.050156250000001</v>
      </c>
      <c r="H476" s="1">
        <v>0</v>
      </c>
      <c r="I476" s="1">
        <v>0.171875</v>
      </c>
      <c r="J476" s="1">
        <v>4</v>
      </c>
      <c r="K476" s="1">
        <v>2012</v>
      </c>
      <c r="L476" s="1"/>
      <c r="M476" s="1">
        <v>1E-3</v>
      </c>
      <c r="N476" s="1">
        <v>1E-3</v>
      </c>
      <c r="O476" s="1">
        <f>(N476-N475)/N475</f>
        <v>0</v>
      </c>
      <c r="P476" s="2">
        <v>41021</v>
      </c>
      <c r="Q476" s="1">
        <v>15</v>
      </c>
      <c r="R476" s="1"/>
    </row>
    <row r="477" spans="1:18" x14ac:dyDescent="0.2">
      <c r="A477" s="3">
        <v>476</v>
      </c>
      <c r="B477" s="2">
        <v>41029</v>
      </c>
      <c r="C477" s="1">
        <v>0.15944798625050399</v>
      </c>
      <c r="D477" s="1">
        <v>0.164554019769033</v>
      </c>
      <c r="E477" s="1">
        <v>192</v>
      </c>
      <c r="F477" s="1">
        <v>33</v>
      </c>
      <c r="G477" s="1">
        <v>28.899652777777799</v>
      </c>
      <c r="H477" s="1">
        <v>0.171875</v>
      </c>
      <c r="I477" s="1">
        <v>3.125E-2</v>
      </c>
      <c r="J477" s="1">
        <v>4</v>
      </c>
      <c r="K477" s="1">
        <v>2012</v>
      </c>
      <c r="L477" s="1"/>
      <c r="M477" s="1">
        <v>0.171875</v>
      </c>
      <c r="N477" s="1">
        <v>0.171875</v>
      </c>
      <c r="O477" s="1">
        <f>(N477-N476)/N476</f>
        <v>170.875</v>
      </c>
      <c r="P477" s="2">
        <v>41029</v>
      </c>
      <c r="Q477" s="1">
        <v>16</v>
      </c>
      <c r="R477" s="1"/>
    </row>
    <row r="478" spans="1:18" x14ac:dyDescent="0.2">
      <c r="A478" s="3">
        <v>477</v>
      </c>
      <c r="B478" s="2">
        <v>41037</v>
      </c>
      <c r="C478" s="1">
        <v>0.129035363970983</v>
      </c>
      <c r="D478" s="1">
        <v>0.12285794764757201</v>
      </c>
      <c r="E478" s="1">
        <v>192</v>
      </c>
      <c r="F478" s="1">
        <v>6</v>
      </c>
      <c r="G478" s="1">
        <v>28.535989583333301</v>
      </c>
      <c r="H478" s="1">
        <v>3.125E-2</v>
      </c>
      <c r="I478" s="1">
        <v>0.18229166666666699</v>
      </c>
      <c r="J478" s="1">
        <v>5</v>
      </c>
      <c r="K478" s="1">
        <v>2012</v>
      </c>
      <c r="L478" s="1"/>
      <c r="M478" s="1">
        <v>3.125E-2</v>
      </c>
      <c r="N478" s="1">
        <v>3.125E-2</v>
      </c>
      <c r="O478" s="1">
        <f>(N478-N477)/N477</f>
        <v>-0.81818181818181823</v>
      </c>
      <c r="P478" s="2">
        <v>41037</v>
      </c>
      <c r="Q478" s="1">
        <v>17</v>
      </c>
      <c r="R478" s="1"/>
    </row>
    <row r="479" spans="1:18" x14ac:dyDescent="0.2">
      <c r="A479" s="3">
        <v>478</v>
      </c>
      <c r="B479" s="2">
        <v>41045</v>
      </c>
      <c r="C479" s="1">
        <v>0.145110709739454</v>
      </c>
      <c r="D479" s="1">
        <v>0.14717728396256799</v>
      </c>
      <c r="E479" s="1">
        <v>192</v>
      </c>
      <c r="F479" s="1">
        <v>35</v>
      </c>
      <c r="G479" s="1">
        <v>28.505434027777799</v>
      </c>
      <c r="H479" s="1">
        <v>0.18229166666666699</v>
      </c>
      <c r="I479" s="1">
        <v>0.36458333333333298</v>
      </c>
      <c r="J479" s="1">
        <v>5</v>
      </c>
      <c r="K479" s="1">
        <v>2012</v>
      </c>
      <c r="L479" s="1"/>
      <c r="M479" s="1">
        <v>0.18229166666666699</v>
      </c>
      <c r="N479" s="1">
        <v>0.18229166666666699</v>
      </c>
      <c r="O479" s="1">
        <f>(N479-N478)/N478</f>
        <v>4.8333333333333437</v>
      </c>
      <c r="P479" s="2">
        <v>41045</v>
      </c>
      <c r="Q479" s="1">
        <v>18</v>
      </c>
      <c r="R479" s="1"/>
    </row>
    <row r="480" spans="1:18" x14ac:dyDescent="0.2">
      <c r="A480" s="3">
        <v>479</v>
      </c>
      <c r="B480" s="2">
        <v>41053</v>
      </c>
      <c r="C480" s="1">
        <v>0.122884308453649</v>
      </c>
      <c r="D480" s="1" t="s">
        <v>0</v>
      </c>
      <c r="E480" s="1">
        <v>192</v>
      </c>
      <c r="F480" s="1">
        <v>70</v>
      </c>
      <c r="G480" s="1">
        <v>28.556215277777799</v>
      </c>
      <c r="H480" s="1">
        <v>0.36458333333333298</v>
      </c>
      <c r="I480" s="1">
        <v>0.78645833333333304</v>
      </c>
      <c r="J480" s="1">
        <v>5</v>
      </c>
      <c r="K480" s="1">
        <v>2012</v>
      </c>
      <c r="L480" s="1"/>
      <c r="M480" s="1">
        <v>0.36458333333333298</v>
      </c>
      <c r="N480" s="1">
        <v>0.36458333333333298</v>
      </c>
      <c r="O480" s="1">
        <f>(N480-N479)/N479</f>
        <v>0.99999999999999456</v>
      </c>
      <c r="P480" s="2">
        <v>41053</v>
      </c>
      <c r="Q480" s="1">
        <v>19</v>
      </c>
      <c r="R480" s="1"/>
    </row>
    <row r="481" spans="1:18" x14ac:dyDescent="0.2">
      <c r="A481" s="3">
        <v>480</v>
      </c>
      <c r="B481" s="2">
        <v>41061</v>
      </c>
      <c r="C481" s="1">
        <v>0.112941289068879</v>
      </c>
      <c r="D481" s="1">
        <v>0.13430456817150099</v>
      </c>
      <c r="E481" s="1">
        <v>192</v>
      </c>
      <c r="F481" s="1">
        <v>151</v>
      </c>
      <c r="G481" s="1">
        <v>28.602499999999999</v>
      </c>
      <c r="H481" s="1">
        <v>0.78645833333333304</v>
      </c>
      <c r="I481" s="1">
        <v>0.28645833333333298</v>
      </c>
      <c r="J481" s="1">
        <v>6</v>
      </c>
      <c r="K481" s="1">
        <v>2012</v>
      </c>
      <c r="L481" s="1"/>
      <c r="M481" s="1">
        <v>0.78645833333333304</v>
      </c>
      <c r="N481" s="1">
        <v>0.78645833333333304</v>
      </c>
      <c r="O481" s="1">
        <f>(N481-N480)/N480</f>
        <v>1.1571428571428584</v>
      </c>
      <c r="P481" s="2">
        <v>41061</v>
      </c>
      <c r="Q481" s="1">
        <v>20</v>
      </c>
      <c r="R481" s="1"/>
    </row>
    <row r="482" spans="1:18" x14ac:dyDescent="0.2">
      <c r="A482" s="3">
        <v>481</v>
      </c>
      <c r="B482" s="2">
        <v>41069</v>
      </c>
      <c r="C482" s="1">
        <v>0.14173937473317699</v>
      </c>
      <c r="D482" s="1">
        <v>0.14200013379255899</v>
      </c>
      <c r="E482" s="1">
        <v>192</v>
      </c>
      <c r="F482" s="1">
        <v>55</v>
      </c>
      <c r="G482" s="1">
        <v>28.617569444444399</v>
      </c>
      <c r="H482" s="1">
        <v>0.28645833333333298</v>
      </c>
      <c r="I482" s="1">
        <v>0.49479166666666702</v>
      </c>
      <c r="J482" s="1">
        <v>6</v>
      </c>
      <c r="K482" s="1">
        <v>2012</v>
      </c>
      <c r="L482" s="1"/>
      <c r="M482" s="1">
        <v>0.28645833333333298</v>
      </c>
      <c r="N482" s="1">
        <v>0.28645833333333298</v>
      </c>
      <c r="O482" s="1">
        <f>(N482-N481)/N481</f>
        <v>-0.63576158940397376</v>
      </c>
      <c r="P482" s="2">
        <v>41069</v>
      </c>
      <c r="Q482" s="1">
        <v>21</v>
      </c>
      <c r="R482" s="1"/>
    </row>
    <row r="483" spans="1:18" x14ac:dyDescent="0.2">
      <c r="A483" s="3">
        <v>482</v>
      </c>
      <c r="B483" s="2">
        <v>41077</v>
      </c>
      <c r="C483" s="1">
        <v>0.14238114634605301</v>
      </c>
      <c r="D483" s="1">
        <v>0.12361906170845</v>
      </c>
      <c r="E483" s="1">
        <v>192</v>
      </c>
      <c r="F483" s="1">
        <v>95</v>
      </c>
      <c r="G483" s="1">
        <v>28.395260416666702</v>
      </c>
      <c r="H483" s="1">
        <v>0.49479166666666702</v>
      </c>
      <c r="I483" s="1">
        <v>0.22916666666666699</v>
      </c>
      <c r="J483" s="1">
        <v>6</v>
      </c>
      <c r="K483" s="1">
        <v>2012</v>
      </c>
      <c r="L483" s="1"/>
      <c r="M483" s="1">
        <v>0.49479166666666702</v>
      </c>
      <c r="N483" s="1">
        <v>0.49479166666666702</v>
      </c>
      <c r="O483" s="1">
        <f>(N483-N482)/N482</f>
        <v>0.72727272727273062</v>
      </c>
      <c r="P483" s="2">
        <v>41077</v>
      </c>
      <c r="Q483" s="1">
        <v>22</v>
      </c>
      <c r="R483" s="1"/>
    </row>
    <row r="484" spans="1:18" x14ac:dyDescent="0.2">
      <c r="A484" s="3">
        <v>483</v>
      </c>
      <c r="B484" s="2">
        <v>41085</v>
      </c>
      <c r="C484" s="1">
        <v>0.15011730045080199</v>
      </c>
      <c r="D484" s="1" t="s">
        <v>0</v>
      </c>
      <c r="E484" s="1">
        <v>192</v>
      </c>
      <c r="F484" s="1">
        <v>44</v>
      </c>
      <c r="G484" s="1">
        <v>28.195607638888902</v>
      </c>
      <c r="H484" s="1">
        <v>0.22916666666666699</v>
      </c>
      <c r="I484" s="1">
        <v>1.5625E-2</v>
      </c>
      <c r="J484" s="1">
        <v>6</v>
      </c>
      <c r="K484" s="1">
        <v>2012</v>
      </c>
      <c r="L484" s="1"/>
      <c r="M484" s="1">
        <v>0.22916666666666699</v>
      </c>
      <c r="N484" s="1">
        <v>0.22916666666666699</v>
      </c>
      <c r="O484" s="1">
        <f>(N484-N483)/N483</f>
        <v>-0.53684210526315757</v>
      </c>
      <c r="P484" s="2">
        <v>41085</v>
      </c>
      <c r="Q484" s="1">
        <v>23</v>
      </c>
      <c r="R484" s="1"/>
    </row>
    <row r="485" spans="1:18" x14ac:dyDescent="0.2">
      <c r="A485" s="3">
        <v>484</v>
      </c>
      <c r="B485" s="2">
        <v>41093</v>
      </c>
      <c r="C485" s="1">
        <v>0.13290538080036601</v>
      </c>
      <c r="D485" s="1" t="s">
        <v>0</v>
      </c>
      <c r="E485" s="1">
        <v>192</v>
      </c>
      <c r="F485" s="1">
        <v>3</v>
      </c>
      <c r="G485" s="1">
        <v>27.972552083333301</v>
      </c>
      <c r="H485" s="1">
        <v>1.5625E-2</v>
      </c>
      <c r="I485" s="1">
        <v>0.33854166666666702</v>
      </c>
      <c r="J485" s="1">
        <v>7</v>
      </c>
      <c r="K485" s="1">
        <v>2012</v>
      </c>
      <c r="L485" s="1"/>
      <c r="M485" s="1">
        <v>1.5625E-2</v>
      </c>
      <c r="N485" s="1">
        <v>1.5625E-2</v>
      </c>
      <c r="O485" s="1">
        <f>(N485-N484)/N484</f>
        <v>-0.93181818181818188</v>
      </c>
      <c r="P485" s="2">
        <v>41093</v>
      </c>
      <c r="Q485" s="1">
        <v>24</v>
      </c>
      <c r="R485" s="1"/>
    </row>
    <row r="486" spans="1:18" x14ac:dyDescent="0.2">
      <c r="A486" s="3">
        <v>485</v>
      </c>
      <c r="B486" s="5">
        <v>41101</v>
      </c>
      <c r="C486" s="1">
        <v>0.119146136459948</v>
      </c>
      <c r="D486" s="1">
        <v>0.112326926241318</v>
      </c>
      <c r="E486" s="1">
        <v>192</v>
      </c>
      <c r="F486" s="1">
        <v>65</v>
      </c>
      <c r="G486" s="1">
        <v>27.937795138888902</v>
      </c>
      <c r="H486" s="1">
        <v>0.33854166666666702</v>
      </c>
      <c r="I486" s="1">
        <v>0.671875</v>
      </c>
      <c r="J486" s="1">
        <v>7</v>
      </c>
      <c r="K486" s="1">
        <v>2012</v>
      </c>
      <c r="L486" s="1">
        <v>0.33854166666666702</v>
      </c>
      <c r="N486" s="1">
        <v>0.33854166666666702</v>
      </c>
      <c r="O486" s="4">
        <f>(N486-N485)/N485</f>
        <v>20.666666666666689</v>
      </c>
      <c r="P486" s="5">
        <v>41101</v>
      </c>
      <c r="Q486" s="1">
        <v>25</v>
      </c>
      <c r="R486" s="1"/>
    </row>
    <row r="487" spans="1:18" x14ac:dyDescent="0.2">
      <c r="A487" s="3">
        <v>486</v>
      </c>
      <c r="B487" s="2">
        <v>41109</v>
      </c>
      <c r="C487" s="1">
        <v>9.93420615590907E-2</v>
      </c>
      <c r="D487" s="1">
        <v>0.10571008548140499</v>
      </c>
      <c r="E487" s="1">
        <v>192</v>
      </c>
      <c r="F487" s="1">
        <v>129</v>
      </c>
      <c r="G487" s="1">
        <v>27.514687500000001</v>
      </c>
      <c r="H487" s="1">
        <v>0.671875</v>
      </c>
      <c r="I487" s="1">
        <v>0.765625</v>
      </c>
      <c r="J487" s="1">
        <v>7</v>
      </c>
      <c r="K487" s="1">
        <v>2012</v>
      </c>
      <c r="L487" s="1">
        <v>0.671875</v>
      </c>
      <c r="N487" s="1">
        <v>0.671875</v>
      </c>
      <c r="O487" s="1">
        <f>(N487-N486)/N486</f>
        <v>0.98461538461538256</v>
      </c>
      <c r="P487" s="2">
        <v>41109</v>
      </c>
      <c r="Q487" s="1">
        <v>26</v>
      </c>
      <c r="R487" s="1"/>
    </row>
    <row r="488" spans="1:18" x14ac:dyDescent="0.2">
      <c r="A488" s="3">
        <v>487</v>
      </c>
      <c r="B488" s="2">
        <v>41117</v>
      </c>
      <c r="C488" s="1">
        <v>9.9710876894433295E-2</v>
      </c>
      <c r="D488" s="1">
        <v>0.10179441298047701</v>
      </c>
      <c r="E488" s="1">
        <v>192</v>
      </c>
      <c r="F488" s="1">
        <v>147</v>
      </c>
      <c r="G488" s="1">
        <v>27.4452256944444</v>
      </c>
      <c r="H488" s="1">
        <v>0.765625</v>
      </c>
      <c r="I488" s="1">
        <v>0.90625</v>
      </c>
      <c r="J488" s="1">
        <v>7</v>
      </c>
      <c r="K488" s="1">
        <v>2012</v>
      </c>
      <c r="L488" s="1">
        <v>0.765625</v>
      </c>
      <c r="N488" s="1">
        <v>0.765625</v>
      </c>
      <c r="O488" s="1">
        <f>(N488-N487)/N487</f>
        <v>0.13953488372093023</v>
      </c>
      <c r="P488" s="2">
        <v>41117</v>
      </c>
      <c r="Q488" s="1">
        <v>27</v>
      </c>
      <c r="R488" s="1"/>
    </row>
    <row r="489" spans="1:18" x14ac:dyDescent="0.2">
      <c r="A489" s="3">
        <v>488</v>
      </c>
      <c r="B489" s="2">
        <v>41125</v>
      </c>
      <c r="C489" s="1">
        <v>9.09310256162386E-2</v>
      </c>
      <c r="D489" s="1">
        <v>0.10059417039156</v>
      </c>
      <c r="E489" s="1">
        <v>192</v>
      </c>
      <c r="F489" s="1">
        <v>174</v>
      </c>
      <c r="G489" s="1">
        <v>27.557482638888899</v>
      </c>
      <c r="H489" s="1">
        <v>0.90625</v>
      </c>
      <c r="I489" s="1">
        <v>1</v>
      </c>
      <c r="J489" s="1">
        <v>8</v>
      </c>
      <c r="K489" s="1">
        <v>2012</v>
      </c>
      <c r="L489" s="1">
        <v>0.90625</v>
      </c>
      <c r="N489" s="1">
        <v>0.90625</v>
      </c>
      <c r="O489" s="1">
        <f>(N489-N488)/N488</f>
        <v>0.18367346938775511</v>
      </c>
      <c r="P489" s="2">
        <v>41125</v>
      </c>
      <c r="Q489" s="1">
        <v>28</v>
      </c>
      <c r="R489" s="1"/>
    </row>
    <row r="490" spans="1:18" x14ac:dyDescent="0.2">
      <c r="A490" s="3">
        <v>489</v>
      </c>
      <c r="B490" s="2">
        <v>41133</v>
      </c>
      <c r="C490" s="1">
        <v>8.5032283299369696E-2</v>
      </c>
      <c r="D490" s="1">
        <v>9.24014498790105E-2</v>
      </c>
      <c r="E490" s="1">
        <v>192</v>
      </c>
      <c r="F490" s="1">
        <v>192</v>
      </c>
      <c r="G490" s="1">
        <v>27.7793229166667</v>
      </c>
      <c r="H490" s="1">
        <v>1</v>
      </c>
      <c r="I490" s="1">
        <v>1</v>
      </c>
      <c r="J490" s="1">
        <v>8</v>
      </c>
      <c r="K490" s="1">
        <v>2012</v>
      </c>
      <c r="L490" s="1">
        <v>1</v>
      </c>
      <c r="N490" s="1">
        <v>1</v>
      </c>
      <c r="O490" s="1">
        <f>(N490-N489)/N489</f>
        <v>0.10344827586206896</v>
      </c>
      <c r="P490" s="2">
        <v>41133</v>
      </c>
      <c r="Q490" s="1">
        <v>29</v>
      </c>
      <c r="R490" s="1"/>
    </row>
    <row r="491" spans="1:18" x14ac:dyDescent="0.2">
      <c r="A491" s="3">
        <v>490</v>
      </c>
      <c r="B491" s="2">
        <v>41141</v>
      </c>
      <c r="C491" s="1">
        <v>0.104848966333601</v>
      </c>
      <c r="D491" s="1">
        <v>0.101179234683514</v>
      </c>
      <c r="E491" s="1">
        <v>192</v>
      </c>
      <c r="F491" s="1">
        <v>192</v>
      </c>
      <c r="G491" s="1">
        <v>27.998038194444401</v>
      </c>
      <c r="H491" s="1">
        <v>1</v>
      </c>
      <c r="I491" s="1">
        <v>0.921875</v>
      </c>
      <c r="J491" s="1">
        <v>8</v>
      </c>
      <c r="K491" s="1">
        <v>2012</v>
      </c>
      <c r="L491" s="1">
        <v>1</v>
      </c>
      <c r="N491" s="1">
        <v>1</v>
      </c>
      <c r="O491" s="1">
        <f>(N491-N490)/N490</f>
        <v>0</v>
      </c>
      <c r="P491" s="2">
        <v>41141</v>
      </c>
      <c r="Q491" s="1">
        <v>30</v>
      </c>
      <c r="R491" s="1"/>
    </row>
    <row r="492" spans="1:18" x14ac:dyDescent="0.2">
      <c r="A492" s="3">
        <v>491</v>
      </c>
      <c r="B492" s="2">
        <v>41149</v>
      </c>
      <c r="C492" s="1" t="s">
        <v>0</v>
      </c>
      <c r="D492" s="1" t="s">
        <v>0</v>
      </c>
      <c r="E492" s="1">
        <v>192</v>
      </c>
      <c r="F492" s="1">
        <v>177</v>
      </c>
      <c r="G492" s="1">
        <v>28.042586805555601</v>
      </c>
      <c r="H492" s="1">
        <v>0.921875</v>
      </c>
      <c r="I492" s="1">
        <v>0.97916666666666696</v>
      </c>
      <c r="J492" s="1">
        <v>8</v>
      </c>
      <c r="K492" s="1">
        <v>2012</v>
      </c>
      <c r="L492" s="1">
        <v>0.921875</v>
      </c>
      <c r="N492" s="1">
        <v>0.921875</v>
      </c>
      <c r="O492" s="1">
        <f>(N492-N491)/N491</f>
        <v>-7.8125E-2</v>
      </c>
      <c r="P492" s="2">
        <v>41149</v>
      </c>
      <c r="Q492" s="1">
        <v>31</v>
      </c>
      <c r="R492" s="1"/>
    </row>
    <row r="493" spans="1:18" x14ac:dyDescent="0.2">
      <c r="A493" s="3">
        <v>492</v>
      </c>
      <c r="B493" s="2">
        <v>41157</v>
      </c>
      <c r="C493" s="1">
        <v>0.102019725101335</v>
      </c>
      <c r="D493" s="1">
        <v>0.127891629934311</v>
      </c>
      <c r="E493" s="1">
        <v>192</v>
      </c>
      <c r="F493" s="1">
        <v>188</v>
      </c>
      <c r="G493" s="1">
        <v>27.8078819444444</v>
      </c>
      <c r="H493" s="1">
        <v>0.97916666666666696</v>
      </c>
      <c r="I493" s="1">
        <v>1</v>
      </c>
      <c r="J493" s="1">
        <v>9</v>
      </c>
      <c r="K493" s="1">
        <v>2012</v>
      </c>
      <c r="L493" s="1">
        <v>0.97916666666666696</v>
      </c>
      <c r="N493" s="1">
        <v>0.97916666666666696</v>
      </c>
      <c r="O493" s="1">
        <f>(N493-N492)/N492</f>
        <v>6.2146892655367554E-2</v>
      </c>
      <c r="P493" s="2">
        <v>41157</v>
      </c>
      <c r="Q493" s="1">
        <v>32</v>
      </c>
      <c r="R493" s="1"/>
    </row>
    <row r="494" spans="1:18" x14ac:dyDescent="0.2">
      <c r="A494" s="3">
        <v>493</v>
      </c>
      <c r="B494" s="2">
        <v>41165</v>
      </c>
      <c r="C494" s="1">
        <v>0.11563808159394701</v>
      </c>
      <c r="D494" s="1">
        <v>0.13499378412961999</v>
      </c>
      <c r="E494" s="1">
        <v>192</v>
      </c>
      <c r="F494" s="1">
        <v>192</v>
      </c>
      <c r="G494" s="1">
        <v>27.706649305555601</v>
      </c>
      <c r="H494" s="1">
        <v>1</v>
      </c>
      <c r="I494" s="1">
        <v>0.984375</v>
      </c>
      <c r="J494" s="1">
        <v>9</v>
      </c>
      <c r="K494" s="1">
        <v>2012</v>
      </c>
      <c r="L494" s="1">
        <v>1</v>
      </c>
      <c r="N494" s="1">
        <v>1</v>
      </c>
      <c r="O494" s="1">
        <f>(N494-N493)/N493</f>
        <v>2.1276595744680542E-2</v>
      </c>
      <c r="P494" s="2">
        <v>41165</v>
      </c>
      <c r="Q494" s="1">
        <v>33</v>
      </c>
      <c r="R494" s="1"/>
    </row>
    <row r="495" spans="1:18" x14ac:dyDescent="0.2">
      <c r="A495" s="3">
        <v>494</v>
      </c>
      <c r="B495" s="2">
        <v>41173</v>
      </c>
      <c r="C495" s="1">
        <v>9.51957956341834E-2</v>
      </c>
      <c r="D495" s="1">
        <v>8.9487895369529696E-2</v>
      </c>
      <c r="E495" s="1">
        <v>192</v>
      </c>
      <c r="F495" s="1">
        <v>189</v>
      </c>
      <c r="G495" s="1">
        <v>27.869843750000001</v>
      </c>
      <c r="H495" s="1">
        <v>0.984375</v>
      </c>
      <c r="I495" s="1">
        <v>0.69791666666666696</v>
      </c>
      <c r="J495" s="1">
        <v>9</v>
      </c>
      <c r="K495" s="1">
        <v>2012</v>
      </c>
      <c r="L495" s="1">
        <v>0.984375</v>
      </c>
      <c r="N495" s="1">
        <v>0.984375</v>
      </c>
      <c r="O495" s="1">
        <f>(N495-N494)/N494</f>
        <v>-1.5625E-2</v>
      </c>
      <c r="P495" s="2">
        <v>41173</v>
      </c>
      <c r="Q495" s="1">
        <v>34</v>
      </c>
      <c r="R495" s="1"/>
    </row>
    <row r="496" spans="1:18" x14ac:dyDescent="0.2">
      <c r="A496" s="3">
        <v>495</v>
      </c>
      <c r="B496" s="2">
        <v>41181</v>
      </c>
      <c r="C496" s="1" t="s">
        <v>0</v>
      </c>
      <c r="D496" s="1" t="s">
        <v>0</v>
      </c>
      <c r="E496" s="1">
        <v>192</v>
      </c>
      <c r="F496" s="1">
        <v>134</v>
      </c>
      <c r="G496" s="1">
        <v>27.903177083333301</v>
      </c>
      <c r="H496" s="1">
        <v>0.69791666666666696</v>
      </c>
      <c r="I496" s="1">
        <v>0.46354166666666702</v>
      </c>
      <c r="J496" s="1">
        <v>9</v>
      </c>
      <c r="K496" s="1">
        <v>2012</v>
      </c>
      <c r="L496" s="1">
        <v>0.69791666666666696</v>
      </c>
      <c r="N496" s="1">
        <v>0.69791666666666696</v>
      </c>
      <c r="O496" s="1">
        <f>(N496-N495)/N495</f>
        <v>-0.29100529100529071</v>
      </c>
      <c r="P496" s="2">
        <v>41181</v>
      </c>
      <c r="Q496" s="1">
        <v>35</v>
      </c>
      <c r="R496" s="1"/>
    </row>
    <row r="497" spans="1:18" x14ac:dyDescent="0.2">
      <c r="A497" s="3">
        <v>496</v>
      </c>
      <c r="B497" s="2">
        <v>41189</v>
      </c>
      <c r="C497" s="1">
        <v>0.21826668456196799</v>
      </c>
      <c r="D497" s="1" t="s">
        <v>0</v>
      </c>
      <c r="E497" s="1">
        <v>192</v>
      </c>
      <c r="F497" s="1">
        <v>89</v>
      </c>
      <c r="G497" s="1">
        <v>28.264427083333299</v>
      </c>
      <c r="H497" s="1">
        <v>0.46354166666666702</v>
      </c>
      <c r="I497" s="1">
        <v>0.94791666666666696</v>
      </c>
      <c r="J497" s="1">
        <v>10</v>
      </c>
      <c r="K497" s="1">
        <v>2012</v>
      </c>
      <c r="L497" s="1">
        <v>0.46354166666666702</v>
      </c>
      <c r="N497" s="1">
        <v>0.46354166666666702</v>
      </c>
      <c r="O497" s="1">
        <f>(N497-N496)/N496</f>
        <v>-0.33582089552238786</v>
      </c>
      <c r="P497" s="2">
        <v>41189</v>
      </c>
      <c r="Q497" s="1">
        <v>36</v>
      </c>
      <c r="R497" s="1"/>
    </row>
    <row r="498" spans="1:18" x14ac:dyDescent="0.2">
      <c r="A498" s="3">
        <v>497</v>
      </c>
      <c r="B498" s="5">
        <v>41197</v>
      </c>
      <c r="C498" s="1">
        <v>9.0946497905948401E-2</v>
      </c>
      <c r="D498" s="1">
        <v>8.0005555103222506E-2</v>
      </c>
      <c r="E498" s="1">
        <v>192</v>
      </c>
      <c r="F498" s="1">
        <v>182</v>
      </c>
      <c r="G498" s="1">
        <v>28.795972222222201</v>
      </c>
      <c r="H498" s="1">
        <v>0.94791666666666696</v>
      </c>
      <c r="I498" s="1">
        <v>0.30729166666666702</v>
      </c>
      <c r="J498" s="1">
        <v>10</v>
      </c>
      <c r="K498" s="1">
        <v>2012</v>
      </c>
      <c r="L498" s="1">
        <v>0.94791666666666696</v>
      </c>
      <c r="N498" s="1">
        <v>0.94791666666666696</v>
      </c>
      <c r="O498" s="1">
        <f>(N498-N497)/N497</f>
        <v>1.0449438202247181</v>
      </c>
      <c r="P498" s="5">
        <v>41197</v>
      </c>
      <c r="Q498" s="1">
        <v>37</v>
      </c>
      <c r="R498" s="1"/>
    </row>
    <row r="499" spans="1:18" x14ac:dyDescent="0.2">
      <c r="A499" s="3">
        <v>498</v>
      </c>
      <c r="B499" s="2">
        <v>41205</v>
      </c>
      <c r="C499" s="1">
        <v>7.5866915658116305E-2</v>
      </c>
      <c r="D499" s="1">
        <v>7.9973839223384899E-2</v>
      </c>
      <c r="E499" s="1">
        <v>192</v>
      </c>
      <c r="F499" s="1">
        <v>59</v>
      </c>
      <c r="G499" s="1">
        <v>28.742916666666702</v>
      </c>
      <c r="H499" s="1">
        <v>0.30729166666666702</v>
      </c>
      <c r="I499" s="1">
        <v>0.36979166666666702</v>
      </c>
      <c r="J499" s="1">
        <v>10</v>
      </c>
      <c r="K499" s="1">
        <v>2012</v>
      </c>
      <c r="L499" s="1"/>
      <c r="M499" s="1">
        <v>0.30729166666666702</v>
      </c>
      <c r="N499" s="1">
        <v>0.30729166666666702</v>
      </c>
      <c r="O499" s="4">
        <f>(N499-N498)/N498</f>
        <v>-0.67582417582417564</v>
      </c>
      <c r="P499" s="2">
        <v>41205</v>
      </c>
      <c r="Q499" s="1">
        <v>38</v>
      </c>
      <c r="R499" s="1"/>
    </row>
    <row r="500" spans="1:18" x14ac:dyDescent="0.2">
      <c r="A500" s="3">
        <v>499</v>
      </c>
      <c r="B500" s="2">
        <v>41213</v>
      </c>
      <c r="C500" s="1" t="s">
        <v>0</v>
      </c>
      <c r="D500" s="1" t="s">
        <v>0</v>
      </c>
      <c r="E500" s="1">
        <v>192</v>
      </c>
      <c r="F500" s="1">
        <v>71</v>
      </c>
      <c r="G500" s="1">
        <v>28.940277777777801</v>
      </c>
      <c r="H500" s="1">
        <v>0.36979166666666702</v>
      </c>
      <c r="I500" s="1">
        <v>0.38020833333333298</v>
      </c>
      <c r="J500" s="1">
        <v>10</v>
      </c>
      <c r="K500" s="1">
        <v>2012</v>
      </c>
      <c r="L500" s="1"/>
      <c r="M500" s="1">
        <v>0.36979166666666702</v>
      </c>
      <c r="N500" s="1">
        <v>0.36979166666666702</v>
      </c>
      <c r="O500" s="1">
        <f>(N500-N499)/N499</f>
        <v>0.20338983050847434</v>
      </c>
      <c r="P500" s="2">
        <v>41213</v>
      </c>
      <c r="Q500" s="1">
        <v>39</v>
      </c>
      <c r="R500" s="1"/>
    </row>
    <row r="501" spans="1:18" x14ac:dyDescent="0.2">
      <c r="A501" s="3">
        <v>500</v>
      </c>
      <c r="B501" s="2">
        <v>41221</v>
      </c>
      <c r="C501" s="1">
        <v>7.0238434263084001E-2</v>
      </c>
      <c r="D501" s="1">
        <v>7.0888488243023601E-2</v>
      </c>
      <c r="E501" s="1">
        <v>192</v>
      </c>
      <c r="F501" s="1">
        <v>73</v>
      </c>
      <c r="G501" s="1">
        <v>28.88296875</v>
      </c>
      <c r="H501" s="1">
        <v>0.38020833333333298</v>
      </c>
      <c r="I501" s="1">
        <v>0.72395833333333304</v>
      </c>
      <c r="J501" s="1">
        <v>11</v>
      </c>
      <c r="K501" s="1">
        <v>2012</v>
      </c>
      <c r="L501" s="1"/>
      <c r="M501" s="1">
        <v>0.38020833333333298</v>
      </c>
      <c r="N501" s="1">
        <v>0.38020833333333298</v>
      </c>
      <c r="O501" s="1">
        <f>(N501-N500)/N500</f>
        <v>2.8169014084505114E-2</v>
      </c>
      <c r="P501" s="2">
        <v>41221</v>
      </c>
      <c r="Q501" s="1">
        <v>40</v>
      </c>
      <c r="R501" s="1"/>
    </row>
    <row r="502" spans="1:18" x14ac:dyDescent="0.2">
      <c r="A502" s="3">
        <v>501</v>
      </c>
      <c r="B502" s="5">
        <v>41229</v>
      </c>
      <c r="C502" s="1">
        <v>6.8517689539917895E-2</v>
      </c>
      <c r="D502" s="1">
        <v>6.4997004345059395E-2</v>
      </c>
      <c r="E502" s="1">
        <v>192</v>
      </c>
      <c r="F502" s="1">
        <v>139</v>
      </c>
      <c r="G502" s="1">
        <v>28.874930555555601</v>
      </c>
      <c r="H502" s="1">
        <v>0.72395833333333304</v>
      </c>
      <c r="I502" s="1">
        <v>0.19791666666666699</v>
      </c>
      <c r="J502" s="1">
        <v>11</v>
      </c>
      <c r="K502" s="1">
        <v>2012</v>
      </c>
      <c r="L502" s="1">
        <v>0.72395833333333304</v>
      </c>
      <c r="N502" s="1">
        <v>0.72395833333333304</v>
      </c>
      <c r="O502" s="4">
        <f>(N502-N501)/N501</f>
        <v>0.90410958904109684</v>
      </c>
      <c r="P502" s="5">
        <v>41229</v>
      </c>
      <c r="Q502" s="1">
        <v>41</v>
      </c>
      <c r="R502" s="1"/>
    </row>
    <row r="503" spans="1:18" x14ac:dyDescent="0.2">
      <c r="A503" s="3">
        <v>502</v>
      </c>
      <c r="B503" s="2">
        <v>41237</v>
      </c>
      <c r="C503" s="1">
        <v>6.7095395122001397E-2</v>
      </c>
      <c r="D503" s="1" t="s">
        <v>0</v>
      </c>
      <c r="E503" s="1">
        <v>192</v>
      </c>
      <c r="F503" s="1">
        <v>38</v>
      </c>
      <c r="G503" s="1">
        <v>28.853090277777799</v>
      </c>
      <c r="H503" s="1">
        <v>0.19791666666666699</v>
      </c>
      <c r="I503" s="1">
        <v>0.99479166666666696</v>
      </c>
      <c r="J503" s="1">
        <v>11</v>
      </c>
      <c r="K503" s="1">
        <v>2012</v>
      </c>
      <c r="L503" s="1">
        <v>0.19791666666666699</v>
      </c>
      <c r="N503" s="1">
        <v>0.19791666666666699</v>
      </c>
      <c r="O503" s="1">
        <f>(N503-N502)/N502</f>
        <v>-0.7266187050359707</v>
      </c>
      <c r="P503" s="2">
        <v>41237</v>
      </c>
      <c r="Q503" s="1">
        <v>42</v>
      </c>
      <c r="R503" s="1"/>
    </row>
    <row r="504" spans="1:18" x14ac:dyDescent="0.2">
      <c r="A504" s="3">
        <v>503</v>
      </c>
      <c r="B504" s="2">
        <v>41245</v>
      </c>
      <c r="C504" s="1">
        <v>8.0880382089713307E-2</v>
      </c>
      <c r="D504" s="1">
        <v>7.6613051195939405E-2</v>
      </c>
      <c r="E504" s="1">
        <v>192</v>
      </c>
      <c r="F504" s="1">
        <v>191</v>
      </c>
      <c r="G504" s="1">
        <v>28.5467881944444</v>
      </c>
      <c r="H504" s="1">
        <v>0.99479166666666696</v>
      </c>
      <c r="I504" s="1">
        <v>0.60416666666666696</v>
      </c>
      <c r="J504" s="1">
        <v>12</v>
      </c>
      <c r="K504" s="1">
        <v>2012</v>
      </c>
      <c r="L504" s="1">
        <v>0.99479166666666696</v>
      </c>
      <c r="N504" s="1">
        <v>0.99479166666666696</v>
      </c>
      <c r="O504" s="1">
        <f>(N504-N503)/N503</f>
        <v>4.0263157894736779</v>
      </c>
      <c r="P504" s="2">
        <v>41245</v>
      </c>
      <c r="Q504" s="1">
        <v>43</v>
      </c>
      <c r="R504" s="1"/>
    </row>
    <row r="505" spans="1:18" x14ac:dyDescent="0.2">
      <c r="A505" s="3">
        <v>504</v>
      </c>
      <c r="B505" s="2">
        <v>41253</v>
      </c>
      <c r="C505" s="1">
        <v>7.2890707783825004E-2</v>
      </c>
      <c r="D505" s="1">
        <v>6.8819784248868601E-2</v>
      </c>
      <c r="E505" s="1">
        <v>192</v>
      </c>
      <c r="F505" s="1">
        <v>116</v>
      </c>
      <c r="G505" s="1">
        <v>28.716249999999999</v>
      </c>
      <c r="H505" s="1">
        <v>0.60416666666666696</v>
      </c>
      <c r="I505" s="1">
        <v>0.56770833333333304</v>
      </c>
      <c r="J505" s="1">
        <v>12</v>
      </c>
      <c r="K505" s="1">
        <v>2012</v>
      </c>
      <c r="L505" s="1">
        <v>0.60416666666666696</v>
      </c>
      <c r="N505" s="1">
        <v>0.60416666666666696</v>
      </c>
      <c r="O505" s="1">
        <f>(N505-N504)/N504</f>
        <v>-0.39267015706806269</v>
      </c>
      <c r="P505" s="2">
        <v>41253</v>
      </c>
      <c r="Q505" s="1">
        <v>44</v>
      </c>
      <c r="R505" s="1"/>
    </row>
    <row r="506" spans="1:18" x14ac:dyDescent="0.2">
      <c r="A506" s="3">
        <v>505</v>
      </c>
      <c r="B506" s="2">
        <v>41261</v>
      </c>
      <c r="C506" s="1">
        <v>7.0893640297332E-2</v>
      </c>
      <c r="D506" s="1">
        <v>6.7713206013043703E-2</v>
      </c>
      <c r="E506" s="1">
        <v>192</v>
      </c>
      <c r="F506" s="1">
        <v>109</v>
      </c>
      <c r="G506" s="1">
        <v>28.7371354166667</v>
      </c>
      <c r="H506" s="1">
        <v>0.56770833333333304</v>
      </c>
      <c r="I506" s="1">
        <v>0.30555555555555602</v>
      </c>
      <c r="J506" s="1">
        <v>12</v>
      </c>
      <c r="K506" s="1">
        <v>2012</v>
      </c>
      <c r="L506" s="1">
        <v>0.56770833333333304</v>
      </c>
      <c r="N506" s="1">
        <v>0.56770833333333304</v>
      </c>
      <c r="O506" s="1">
        <f>(N506-N505)/N505</f>
        <v>-6.034482758620785E-2</v>
      </c>
      <c r="P506" s="2">
        <v>41261</v>
      </c>
      <c r="Q506" s="1">
        <v>45</v>
      </c>
      <c r="R506" s="1"/>
    </row>
    <row r="507" spans="1:18" x14ac:dyDescent="0.2">
      <c r="A507" s="3">
        <v>506</v>
      </c>
      <c r="B507" s="5">
        <v>41269</v>
      </c>
      <c r="C507" s="1">
        <v>8.8123753847133696E-2</v>
      </c>
      <c r="D507" s="1">
        <v>6.0746421106159701E-2</v>
      </c>
      <c r="E507" s="1">
        <v>144</v>
      </c>
      <c r="F507" s="1">
        <v>44</v>
      </c>
      <c r="G507" s="1">
        <v>28.829560185185201</v>
      </c>
      <c r="H507" s="1">
        <v>0.30555555555555602</v>
      </c>
      <c r="I507" s="1">
        <v>2.0833333333333301E-2</v>
      </c>
      <c r="J507" s="1">
        <v>12</v>
      </c>
      <c r="K507" s="1">
        <v>2012</v>
      </c>
      <c r="L507" s="1">
        <v>0.30555555555555602</v>
      </c>
      <c r="N507" s="1">
        <v>0.30555555555555602</v>
      </c>
      <c r="O507" s="1">
        <f>(N507-N506)/N506</f>
        <v>-0.46177370030580928</v>
      </c>
      <c r="P507" s="5">
        <v>41269</v>
      </c>
      <c r="Q507" s="1">
        <v>46</v>
      </c>
      <c r="R507" s="1"/>
    </row>
    <row r="508" spans="1:18" x14ac:dyDescent="0.2">
      <c r="A508" s="3">
        <v>507</v>
      </c>
      <c r="B508" s="2">
        <v>41275</v>
      </c>
      <c r="C508" s="1">
        <v>7.7388273818152303E-2</v>
      </c>
      <c r="D508" s="1">
        <v>7.29078464210033E-2</v>
      </c>
      <c r="E508" s="1">
        <v>192</v>
      </c>
      <c r="F508" s="1">
        <v>4</v>
      </c>
      <c r="G508" s="1">
        <v>28.7855555555556</v>
      </c>
      <c r="H508" s="1">
        <v>2.0833333333333301E-2</v>
      </c>
      <c r="I508" s="1">
        <v>4.6875E-2</v>
      </c>
      <c r="J508" s="1">
        <v>1</v>
      </c>
      <c r="K508" s="1">
        <v>2013</v>
      </c>
      <c r="L508" s="1"/>
      <c r="M508" s="1">
        <v>2.0833333333333301E-2</v>
      </c>
      <c r="N508" s="1">
        <v>2.0833333333333301E-2</v>
      </c>
      <c r="O508" s="4">
        <f>(N508-N507)/N507</f>
        <v>-0.93181818181818199</v>
      </c>
      <c r="P508" s="2">
        <v>41275</v>
      </c>
      <c r="Q508" s="1">
        <v>1</v>
      </c>
      <c r="R508" s="1"/>
    </row>
    <row r="509" spans="1:18" x14ac:dyDescent="0.2">
      <c r="A509" s="3">
        <v>508</v>
      </c>
      <c r="B509" s="2">
        <v>41283</v>
      </c>
      <c r="C509" s="1">
        <v>7.9454609012418895E-2</v>
      </c>
      <c r="D509" s="1">
        <v>7.5145047903060896E-2</v>
      </c>
      <c r="E509" s="1">
        <v>192</v>
      </c>
      <c r="F509" s="1">
        <v>9</v>
      </c>
      <c r="G509" s="1">
        <v>28.807517361111099</v>
      </c>
      <c r="H509" s="1">
        <v>4.6875E-2</v>
      </c>
      <c r="I509" s="1">
        <v>0.125</v>
      </c>
      <c r="J509" s="1">
        <v>1</v>
      </c>
      <c r="K509" s="1">
        <v>2013</v>
      </c>
      <c r="L509" s="1"/>
      <c r="M509" s="1">
        <v>4.6875E-2</v>
      </c>
      <c r="N509" s="1">
        <v>4.6875E-2</v>
      </c>
      <c r="O509" s="1">
        <f>(N509-N508)/N508</f>
        <v>1.2500000000000036</v>
      </c>
      <c r="P509" s="2">
        <v>41283</v>
      </c>
      <c r="Q509" s="1">
        <v>2</v>
      </c>
      <c r="R509" s="1"/>
    </row>
    <row r="510" spans="1:18" x14ac:dyDescent="0.2">
      <c r="A510" s="3">
        <v>509</v>
      </c>
      <c r="B510" s="2">
        <v>41291</v>
      </c>
      <c r="C510" s="1">
        <v>8.4194907997833898E-2</v>
      </c>
      <c r="D510" s="1">
        <v>7.2706311941146906E-2</v>
      </c>
      <c r="E510" s="1">
        <v>192</v>
      </c>
      <c r="F510" s="1">
        <v>24</v>
      </c>
      <c r="G510" s="1">
        <v>28.978211805555599</v>
      </c>
      <c r="H510" s="1">
        <v>0.125</v>
      </c>
      <c r="I510" s="1">
        <v>6.7708333333333301E-2</v>
      </c>
      <c r="J510" s="1">
        <v>1</v>
      </c>
      <c r="K510" s="1">
        <v>2013</v>
      </c>
      <c r="L510" s="1"/>
      <c r="M510" s="1">
        <v>0.125</v>
      </c>
      <c r="N510" s="1">
        <v>0.125</v>
      </c>
      <c r="O510" s="1">
        <f>(N510-N509)/N509</f>
        <v>1.6666666666666667</v>
      </c>
      <c r="P510" s="2">
        <v>41291</v>
      </c>
      <c r="Q510" s="1">
        <v>3</v>
      </c>
      <c r="R510" s="1"/>
    </row>
    <row r="511" spans="1:18" x14ac:dyDescent="0.2">
      <c r="A511" s="3">
        <v>510</v>
      </c>
      <c r="B511" s="2">
        <v>41299</v>
      </c>
      <c r="C511" s="1">
        <v>8.5175408487334694E-2</v>
      </c>
      <c r="D511" s="1" t="s">
        <v>0</v>
      </c>
      <c r="E511" s="1">
        <v>192</v>
      </c>
      <c r="F511" s="1">
        <v>13</v>
      </c>
      <c r="G511" s="1">
        <v>29.2465625</v>
      </c>
      <c r="H511" s="1">
        <v>6.7708333333333301E-2</v>
      </c>
      <c r="I511" s="1">
        <v>8.3333333333333301E-2</v>
      </c>
      <c r="J511" s="1">
        <v>1</v>
      </c>
      <c r="K511" s="1">
        <v>2013</v>
      </c>
      <c r="L511" s="1"/>
      <c r="M511" s="1">
        <v>6.7708333333333301E-2</v>
      </c>
      <c r="N511" s="1">
        <v>6.7708333333333301E-2</v>
      </c>
      <c r="O511" s="1">
        <f>(N511-N510)/N510</f>
        <v>-0.45833333333333359</v>
      </c>
      <c r="P511" s="2">
        <v>41299</v>
      </c>
      <c r="Q511" s="1">
        <v>4</v>
      </c>
      <c r="R511" s="1"/>
    </row>
    <row r="512" spans="1:18" x14ac:dyDescent="0.2">
      <c r="A512" s="3">
        <v>511</v>
      </c>
      <c r="B512" s="2">
        <v>41307</v>
      </c>
      <c r="C512" s="1">
        <v>8.3081791774161806E-2</v>
      </c>
      <c r="D512" s="1">
        <v>8.7472650408744801E-2</v>
      </c>
      <c r="E512" s="1">
        <v>192</v>
      </c>
      <c r="F512" s="1">
        <v>16</v>
      </c>
      <c r="G512" s="1">
        <v>28.895260416666702</v>
      </c>
      <c r="H512" s="1">
        <v>8.3333333333333301E-2</v>
      </c>
      <c r="I512" s="1">
        <v>0.140625</v>
      </c>
      <c r="J512" s="1">
        <v>2</v>
      </c>
      <c r="K512" s="1">
        <v>2013</v>
      </c>
      <c r="L512" s="1"/>
      <c r="M512" s="1">
        <v>8.3333333333333301E-2</v>
      </c>
      <c r="N512" s="1">
        <v>8.3333333333333301E-2</v>
      </c>
      <c r="O512" s="1">
        <f>(N512-N511)/N511</f>
        <v>0.23076923076923089</v>
      </c>
      <c r="P512" s="2">
        <v>41307</v>
      </c>
      <c r="Q512" s="1">
        <v>5</v>
      </c>
      <c r="R512" s="1"/>
    </row>
    <row r="513" spans="1:18" x14ac:dyDescent="0.2">
      <c r="A513" s="3">
        <v>512</v>
      </c>
      <c r="B513" s="2">
        <v>41315</v>
      </c>
      <c r="C513" s="1">
        <v>9.0103583911369606E-2</v>
      </c>
      <c r="D513" s="1">
        <v>0.10003432631492599</v>
      </c>
      <c r="E513" s="1">
        <v>192</v>
      </c>
      <c r="F513" s="1">
        <v>27</v>
      </c>
      <c r="G513" s="1">
        <v>28.895260416666702</v>
      </c>
      <c r="H513" s="1">
        <v>0.140625</v>
      </c>
      <c r="I513" s="1">
        <v>0.20833333333333301</v>
      </c>
      <c r="J513" s="1">
        <v>2</v>
      </c>
      <c r="K513" s="1">
        <v>2013</v>
      </c>
      <c r="L513" s="1"/>
      <c r="M513" s="1">
        <v>0.140625</v>
      </c>
      <c r="N513" s="1">
        <v>0.140625</v>
      </c>
      <c r="O513" s="1">
        <f>(N513-N512)/N512</f>
        <v>0.68750000000000067</v>
      </c>
      <c r="P513" s="2">
        <v>41315</v>
      </c>
      <c r="Q513" s="1">
        <v>6</v>
      </c>
      <c r="R513" s="1"/>
    </row>
    <row r="514" spans="1:18" x14ac:dyDescent="0.2">
      <c r="A514" s="3">
        <v>513</v>
      </c>
      <c r="B514" s="2">
        <v>41323</v>
      </c>
      <c r="C514" s="1">
        <v>7.67920637503266E-2</v>
      </c>
      <c r="D514" s="1">
        <v>6.9413015618920298E-2</v>
      </c>
      <c r="E514" s="1">
        <v>192</v>
      </c>
      <c r="F514" s="1">
        <v>40</v>
      </c>
      <c r="G514" s="1">
        <v>29.7523263888889</v>
      </c>
      <c r="H514" s="1">
        <v>0.20833333333333301</v>
      </c>
      <c r="I514" s="1">
        <v>0</v>
      </c>
      <c r="J514" s="1">
        <v>2</v>
      </c>
      <c r="K514" s="1">
        <v>2013</v>
      </c>
      <c r="L514" s="1"/>
      <c r="M514" s="1">
        <v>0.20833333333333301</v>
      </c>
      <c r="N514" s="1">
        <v>0.20833333333333301</v>
      </c>
      <c r="O514" s="1">
        <f>(N514-N513)/N513</f>
        <v>0.48148148148147918</v>
      </c>
      <c r="P514" s="2">
        <v>41323</v>
      </c>
      <c r="Q514" s="1">
        <v>7</v>
      </c>
      <c r="R514" s="1"/>
    </row>
    <row r="515" spans="1:18" x14ac:dyDescent="0.2">
      <c r="A515" s="3">
        <v>514</v>
      </c>
      <c r="B515" s="2">
        <v>41331</v>
      </c>
      <c r="C515" s="1">
        <v>7.4205115122694398E-2</v>
      </c>
      <c r="D515" s="1">
        <v>6.5724811702966707E-2</v>
      </c>
      <c r="E515" s="1">
        <v>192</v>
      </c>
      <c r="F515" s="1">
        <v>0</v>
      </c>
      <c r="G515" s="1">
        <v>29.225954861111099</v>
      </c>
      <c r="H515" s="1">
        <v>0</v>
      </c>
      <c r="I515" s="1">
        <v>2.6041666666666699E-2</v>
      </c>
      <c r="J515" s="1">
        <v>2</v>
      </c>
      <c r="K515" s="1">
        <v>2013</v>
      </c>
      <c r="L515" s="1"/>
      <c r="M515" s="1">
        <v>1E-3</v>
      </c>
      <c r="N515" s="1">
        <v>1E-3</v>
      </c>
      <c r="O515" s="1">
        <f>(N515-N514)/N514</f>
        <v>-0.99519999999999997</v>
      </c>
      <c r="P515" s="2">
        <v>41331</v>
      </c>
      <c r="Q515" s="1">
        <v>8</v>
      </c>
      <c r="R515" s="1"/>
    </row>
    <row r="516" spans="1:18" x14ac:dyDescent="0.2">
      <c r="A516" s="3">
        <v>515</v>
      </c>
      <c r="B516" s="2">
        <v>41339</v>
      </c>
      <c r="C516" s="1">
        <v>0.11007934655637</v>
      </c>
      <c r="D516" s="1">
        <v>9.9545735865831403E-2</v>
      </c>
      <c r="E516" s="1">
        <v>192</v>
      </c>
      <c r="F516" s="1">
        <v>5</v>
      </c>
      <c r="G516" s="1">
        <v>29.180520833333301</v>
      </c>
      <c r="H516" s="1">
        <v>2.6041666666666699E-2</v>
      </c>
      <c r="I516" s="1">
        <v>0.1875</v>
      </c>
      <c r="J516" s="1">
        <v>3</v>
      </c>
      <c r="K516" s="1">
        <v>2013</v>
      </c>
      <c r="L516" s="1"/>
      <c r="M516" s="1">
        <v>2.6041666666666699E-2</v>
      </c>
      <c r="N516" s="1">
        <v>2.6041666666666699E-2</v>
      </c>
      <c r="O516" s="1">
        <f>(N516-N515)/N515</f>
        <v>25.041666666666696</v>
      </c>
      <c r="P516" s="2">
        <v>41339</v>
      </c>
      <c r="Q516" s="1">
        <v>9</v>
      </c>
      <c r="R516" s="1"/>
    </row>
    <row r="517" spans="1:18" x14ac:dyDescent="0.2">
      <c r="A517" s="3">
        <v>516</v>
      </c>
      <c r="B517" s="2">
        <v>41347</v>
      </c>
      <c r="C517" s="1">
        <v>0.111734364114024</v>
      </c>
      <c r="D517" s="1">
        <v>0.110533354183038</v>
      </c>
      <c r="E517" s="1">
        <v>192</v>
      </c>
      <c r="F517" s="1">
        <v>36</v>
      </c>
      <c r="G517" s="1">
        <v>29.672239583333301</v>
      </c>
      <c r="H517" s="1">
        <v>0.1875</v>
      </c>
      <c r="I517" s="1">
        <v>0.75</v>
      </c>
      <c r="J517" s="1">
        <v>3</v>
      </c>
      <c r="K517" s="1">
        <v>2013</v>
      </c>
      <c r="L517" s="1"/>
      <c r="M517" s="1">
        <v>0.1875</v>
      </c>
      <c r="N517" s="1">
        <v>0.1875</v>
      </c>
      <c r="O517" s="1">
        <f>(N517-N516)/N516</f>
        <v>6.1999999999999913</v>
      </c>
      <c r="P517" s="2">
        <v>41347</v>
      </c>
      <c r="Q517" s="1">
        <v>10</v>
      </c>
      <c r="R517" s="1"/>
    </row>
    <row r="518" spans="1:18" x14ac:dyDescent="0.2">
      <c r="A518" s="3">
        <v>517</v>
      </c>
      <c r="B518" s="2">
        <v>41355</v>
      </c>
      <c r="C518" s="1">
        <v>0.117192458900266</v>
      </c>
      <c r="D518" s="1">
        <v>0.120868316541115</v>
      </c>
      <c r="E518" s="1">
        <v>192</v>
      </c>
      <c r="F518" s="1">
        <v>144</v>
      </c>
      <c r="G518" s="1">
        <v>29.814218749999998</v>
      </c>
      <c r="H518" s="1">
        <v>0.75</v>
      </c>
      <c r="I518" s="1">
        <v>0.75520833333333304</v>
      </c>
      <c r="J518" s="1">
        <v>3</v>
      </c>
      <c r="K518" s="1">
        <v>2013</v>
      </c>
      <c r="L518" s="1"/>
      <c r="M518" s="1">
        <v>0.75</v>
      </c>
      <c r="N518" s="1">
        <v>0.75</v>
      </c>
      <c r="O518" s="1">
        <f>(N518-N517)/N517</f>
        <v>3</v>
      </c>
      <c r="P518" s="2">
        <v>41355</v>
      </c>
      <c r="Q518" s="1">
        <v>11</v>
      </c>
      <c r="R518" s="1"/>
    </row>
    <row r="519" spans="1:18" x14ac:dyDescent="0.2">
      <c r="A519" s="3">
        <v>518</v>
      </c>
      <c r="B519" s="2">
        <v>41363</v>
      </c>
      <c r="C519" s="1">
        <v>8.7881910149007994E-2</v>
      </c>
      <c r="D519" s="1" t="s">
        <v>0</v>
      </c>
      <c r="E519" s="1">
        <v>192</v>
      </c>
      <c r="F519" s="1">
        <v>145</v>
      </c>
      <c r="G519" s="1">
        <v>29.470416666666701</v>
      </c>
      <c r="H519" s="1">
        <v>0.75520833333333304</v>
      </c>
      <c r="I519" s="1">
        <v>0.55208333333333304</v>
      </c>
      <c r="J519" s="1">
        <v>3</v>
      </c>
      <c r="K519" s="1">
        <v>2013</v>
      </c>
      <c r="L519" s="1"/>
      <c r="M519" s="1">
        <v>0.75520833333333304</v>
      </c>
      <c r="N519" s="1">
        <v>0.75520833333333304</v>
      </c>
      <c r="O519" s="1">
        <f>(N519-N518)/N518</f>
        <v>6.9444444444440494E-3</v>
      </c>
      <c r="P519" s="2">
        <v>41363</v>
      </c>
      <c r="Q519" s="1">
        <v>12</v>
      </c>
      <c r="R519" s="1"/>
    </row>
    <row r="520" spans="1:18" x14ac:dyDescent="0.2">
      <c r="A520" s="3">
        <v>519</v>
      </c>
      <c r="B520" s="2">
        <v>41371</v>
      </c>
      <c r="C520" s="1">
        <v>0.10376904964108399</v>
      </c>
      <c r="D520" s="1" t="s">
        <v>0</v>
      </c>
      <c r="E520" s="1">
        <v>192</v>
      </c>
      <c r="F520" s="1">
        <v>106</v>
      </c>
      <c r="G520" s="1">
        <v>29.2217881944444</v>
      </c>
      <c r="H520" s="1">
        <v>0.55208333333333304</v>
      </c>
      <c r="I520" s="1">
        <v>0.36979166666666702</v>
      </c>
      <c r="J520" s="1">
        <v>4</v>
      </c>
      <c r="K520" s="1">
        <v>2013</v>
      </c>
      <c r="L520" s="1"/>
      <c r="M520" s="1">
        <v>0.55208333333333304</v>
      </c>
      <c r="N520" s="1">
        <v>0.55208333333333304</v>
      </c>
      <c r="O520" s="1">
        <f>(N520-N519)/N519</f>
        <v>-0.2689655172413794</v>
      </c>
      <c r="P520" s="2">
        <v>41371</v>
      </c>
      <c r="Q520" s="1">
        <v>13</v>
      </c>
      <c r="R520" s="1"/>
    </row>
    <row r="521" spans="1:18" x14ac:dyDescent="0.2">
      <c r="A521" s="3">
        <v>520</v>
      </c>
      <c r="B521" s="2">
        <v>41379</v>
      </c>
      <c r="C521" s="1">
        <v>9.7498143490936107E-2</v>
      </c>
      <c r="D521" s="1">
        <v>9.7469008217255307E-2</v>
      </c>
      <c r="E521" s="1">
        <v>192</v>
      </c>
      <c r="F521" s="1">
        <v>71</v>
      </c>
      <c r="G521" s="1">
        <v>29.362447916666699</v>
      </c>
      <c r="H521" s="1">
        <v>0.36979166666666702</v>
      </c>
      <c r="I521" s="1">
        <v>0.30729166666666702</v>
      </c>
      <c r="J521" s="1">
        <v>4</v>
      </c>
      <c r="K521" s="1">
        <v>2013</v>
      </c>
      <c r="L521" s="1"/>
      <c r="M521" s="1">
        <v>0.36979166666666702</v>
      </c>
      <c r="N521" s="1">
        <v>0.36979166666666702</v>
      </c>
      <c r="O521" s="1">
        <f>(N521-N520)/N520</f>
        <v>-0.330188679245282</v>
      </c>
      <c r="P521" s="2">
        <v>41379</v>
      </c>
      <c r="Q521" s="1">
        <v>14</v>
      </c>
      <c r="R521" s="1"/>
    </row>
    <row r="522" spans="1:18" x14ac:dyDescent="0.2">
      <c r="A522" s="3">
        <v>521</v>
      </c>
      <c r="B522" s="2">
        <v>41387</v>
      </c>
      <c r="C522" s="1">
        <v>9.9755339833520196E-2</v>
      </c>
      <c r="D522" s="1">
        <v>9.73403826355934E-2</v>
      </c>
      <c r="E522" s="1">
        <v>192</v>
      </c>
      <c r="F522" s="1">
        <v>59</v>
      </c>
      <c r="G522" s="1">
        <v>29.286284722222199</v>
      </c>
      <c r="H522" s="1">
        <v>0.30729166666666702</v>
      </c>
      <c r="I522" s="1">
        <v>0.34895833333333298</v>
      </c>
      <c r="J522" s="1">
        <v>4</v>
      </c>
      <c r="K522" s="1">
        <v>2013</v>
      </c>
      <c r="L522" s="1"/>
      <c r="M522" s="1">
        <v>0.30729166666666702</v>
      </c>
      <c r="N522" s="1">
        <v>0.30729166666666702</v>
      </c>
      <c r="O522" s="1">
        <f>(N522-N521)/N521</f>
        <v>-0.16901408450704208</v>
      </c>
      <c r="P522" s="2">
        <v>41387</v>
      </c>
      <c r="Q522" s="1">
        <v>15</v>
      </c>
      <c r="R522" s="1"/>
    </row>
    <row r="523" spans="1:18" x14ac:dyDescent="0.2">
      <c r="A523" s="3">
        <v>522</v>
      </c>
      <c r="B523" s="2">
        <v>41395</v>
      </c>
      <c r="C523" s="1">
        <v>0.11181654652150801</v>
      </c>
      <c r="D523" s="1">
        <v>9.8800749828418105E-2</v>
      </c>
      <c r="E523" s="1">
        <v>192</v>
      </c>
      <c r="F523" s="1">
        <v>67</v>
      </c>
      <c r="G523" s="1">
        <v>28.888784722222201</v>
      </c>
      <c r="H523" s="1">
        <v>0.34895833333333298</v>
      </c>
      <c r="I523" s="1">
        <v>0.30729166666666702</v>
      </c>
      <c r="J523" s="1">
        <v>5</v>
      </c>
      <c r="K523" s="1">
        <v>2013</v>
      </c>
      <c r="L523" s="1"/>
      <c r="M523" s="1">
        <v>0.34895833333333298</v>
      </c>
      <c r="N523" s="1">
        <v>0.34895833333333298</v>
      </c>
      <c r="O523" s="1">
        <f>(N523-N522)/N522</f>
        <v>0.13559322033898061</v>
      </c>
      <c r="P523" s="2">
        <v>41395</v>
      </c>
      <c r="Q523" s="1">
        <v>16</v>
      </c>
      <c r="R523" s="1"/>
    </row>
    <row r="524" spans="1:18" x14ac:dyDescent="0.2">
      <c r="A524" s="3">
        <v>523</v>
      </c>
      <c r="B524" s="2">
        <v>41403</v>
      </c>
      <c r="C524" s="1">
        <v>9.6667965341891607E-2</v>
      </c>
      <c r="D524" s="1">
        <v>9.2520207166671795E-2</v>
      </c>
      <c r="E524" s="1">
        <v>192</v>
      </c>
      <c r="F524" s="1">
        <v>59</v>
      </c>
      <c r="G524" s="1">
        <v>28.541006944444401</v>
      </c>
      <c r="H524" s="1">
        <v>0.30729166666666702</v>
      </c>
      <c r="I524" s="1">
        <v>0.375</v>
      </c>
      <c r="J524" s="1">
        <v>5</v>
      </c>
      <c r="K524" s="1">
        <v>2013</v>
      </c>
      <c r="L524" s="1"/>
      <c r="M524" s="1">
        <v>0.30729166666666702</v>
      </c>
      <c r="N524" s="1">
        <v>0.30729166666666702</v>
      </c>
      <c r="O524" s="1">
        <f>(N524-N523)/N523</f>
        <v>-0.11940298507462498</v>
      </c>
      <c r="P524" s="2">
        <v>41403</v>
      </c>
      <c r="Q524" s="1">
        <v>17</v>
      </c>
      <c r="R524" s="1"/>
    </row>
    <row r="525" spans="1:18" x14ac:dyDescent="0.2">
      <c r="A525" s="3">
        <v>524</v>
      </c>
      <c r="B525" s="2">
        <v>41411</v>
      </c>
      <c r="C525" s="1">
        <v>0.12904742872056801</v>
      </c>
      <c r="D525" s="1">
        <v>0.13390979419151899</v>
      </c>
      <c r="E525" s="1">
        <v>192</v>
      </c>
      <c r="F525" s="1">
        <v>72</v>
      </c>
      <c r="G525" s="1">
        <v>28.264131944444401</v>
      </c>
      <c r="H525" s="1">
        <v>0.375</v>
      </c>
      <c r="I525" s="1">
        <v>0.88020833333333304</v>
      </c>
      <c r="J525" s="1">
        <v>5</v>
      </c>
      <c r="K525" s="1">
        <v>2013</v>
      </c>
      <c r="L525" s="1"/>
      <c r="M525" s="1">
        <v>0.375</v>
      </c>
      <c r="N525" s="1">
        <v>0.375</v>
      </c>
      <c r="O525" s="1">
        <f>(N525-N524)/N524</f>
        <v>0.22033898305084607</v>
      </c>
      <c r="P525" s="2">
        <v>41411</v>
      </c>
      <c r="Q525" s="1">
        <v>18</v>
      </c>
      <c r="R525" s="1"/>
    </row>
    <row r="526" spans="1:18" x14ac:dyDescent="0.2">
      <c r="A526" s="3">
        <v>525</v>
      </c>
      <c r="B526" s="5">
        <v>41419</v>
      </c>
      <c r="C526" s="1">
        <v>0.131530727838745</v>
      </c>
      <c r="D526" s="1">
        <v>0.12793593729535699</v>
      </c>
      <c r="E526" s="1">
        <v>192</v>
      </c>
      <c r="F526" s="1">
        <v>169</v>
      </c>
      <c r="G526" s="1">
        <v>28.134444444444402</v>
      </c>
      <c r="H526" s="1">
        <v>0.88020833333333304</v>
      </c>
      <c r="I526" s="1">
        <v>0.75</v>
      </c>
      <c r="J526" s="1">
        <v>5</v>
      </c>
      <c r="K526" s="1">
        <v>2013</v>
      </c>
      <c r="L526" s="1">
        <v>0.88020833333333304</v>
      </c>
      <c r="N526" s="1">
        <v>0.88020833333333304</v>
      </c>
      <c r="O526" s="4">
        <f>(N526-N525)/N525</f>
        <v>1.3472222222222214</v>
      </c>
      <c r="P526" s="5">
        <v>41419</v>
      </c>
      <c r="Q526" s="1">
        <v>19</v>
      </c>
      <c r="R526" s="1"/>
    </row>
    <row r="527" spans="1:18" x14ac:dyDescent="0.2">
      <c r="A527" s="3">
        <v>526</v>
      </c>
      <c r="B527" s="2">
        <v>41427</v>
      </c>
      <c r="C527" s="1">
        <v>0.15641060526051201</v>
      </c>
      <c r="D527" s="1">
        <v>0.15523331860701201</v>
      </c>
      <c r="E527" s="1">
        <v>192</v>
      </c>
      <c r="F527" s="1">
        <v>144</v>
      </c>
      <c r="G527" s="1">
        <v>27.913298611111099</v>
      </c>
      <c r="H527" s="1">
        <v>0.75</v>
      </c>
      <c r="I527" s="1">
        <v>0.97395833333333304</v>
      </c>
      <c r="J527" s="1">
        <v>6</v>
      </c>
      <c r="K527" s="1">
        <v>2013</v>
      </c>
      <c r="L527" s="1">
        <v>0.75</v>
      </c>
      <c r="N527" s="1">
        <v>0.75</v>
      </c>
      <c r="O527" s="1">
        <f>(N527-N526)/N526</f>
        <v>-0.14792899408283994</v>
      </c>
      <c r="P527" s="2">
        <v>41427</v>
      </c>
      <c r="Q527" s="1">
        <v>20</v>
      </c>
      <c r="R527" s="1"/>
    </row>
    <row r="528" spans="1:18" x14ac:dyDescent="0.2">
      <c r="A528" s="3">
        <v>527</v>
      </c>
      <c r="B528" s="2">
        <v>41435</v>
      </c>
      <c r="C528" s="1">
        <v>0.16144921896300601</v>
      </c>
      <c r="D528" s="1">
        <v>0.15580029537280399</v>
      </c>
      <c r="E528" s="1">
        <v>192</v>
      </c>
      <c r="F528" s="1">
        <v>187</v>
      </c>
      <c r="G528" s="1">
        <v>27.568993055555602</v>
      </c>
      <c r="H528" s="1">
        <v>0.97395833333333304</v>
      </c>
      <c r="I528" s="1">
        <v>0.99479166666666696</v>
      </c>
      <c r="J528" s="1">
        <v>6</v>
      </c>
      <c r="K528" s="1">
        <v>2013</v>
      </c>
      <c r="L528" s="1">
        <v>0.97395833333333304</v>
      </c>
      <c r="N528" s="1">
        <v>0.97395833333333304</v>
      </c>
      <c r="O528" s="1">
        <f>(N528-N527)/N527</f>
        <v>0.29861111111111072</v>
      </c>
      <c r="P528" s="2">
        <v>41435</v>
      </c>
      <c r="Q528" s="1">
        <v>21</v>
      </c>
      <c r="R528" s="1"/>
    </row>
    <row r="529" spans="1:18" x14ac:dyDescent="0.2">
      <c r="A529" s="3">
        <v>528</v>
      </c>
      <c r="B529" s="2">
        <v>41443</v>
      </c>
      <c r="C529" s="1">
        <v>0.19132572164138201</v>
      </c>
      <c r="D529" s="1">
        <v>0.19358117133378999</v>
      </c>
      <c r="E529" s="1">
        <v>192</v>
      </c>
      <c r="F529" s="1">
        <v>191</v>
      </c>
      <c r="G529" s="1">
        <v>27.177690972222202</v>
      </c>
      <c r="H529" s="1">
        <v>0.99479166666666696</v>
      </c>
      <c r="I529" s="1">
        <v>0.96354166666666696</v>
      </c>
      <c r="J529" s="1">
        <v>6</v>
      </c>
      <c r="K529" s="1">
        <v>2013</v>
      </c>
      <c r="L529" s="1">
        <v>0.99479166666666696</v>
      </c>
      <c r="N529" s="1">
        <v>0.99479166666666696</v>
      </c>
      <c r="O529" s="1">
        <f>(N529-N528)/N528</f>
        <v>2.1390374331551415E-2</v>
      </c>
      <c r="P529" s="2">
        <v>41443</v>
      </c>
      <c r="Q529" s="1">
        <v>22</v>
      </c>
      <c r="R529" s="1"/>
    </row>
    <row r="530" spans="1:18" x14ac:dyDescent="0.2">
      <c r="A530" s="3">
        <v>529</v>
      </c>
      <c r="B530" s="2">
        <v>41451</v>
      </c>
      <c r="C530" s="1">
        <v>0.241974783375075</v>
      </c>
      <c r="D530" s="1">
        <v>0.24981622894604999</v>
      </c>
      <c r="E530" s="1">
        <v>192</v>
      </c>
      <c r="F530" s="1">
        <v>185</v>
      </c>
      <c r="G530" s="1">
        <v>26.914236111111101</v>
      </c>
      <c r="H530" s="1">
        <v>0.96354166666666696</v>
      </c>
      <c r="I530" s="1">
        <v>0.88541666666666696</v>
      </c>
      <c r="J530" s="1">
        <v>6</v>
      </c>
      <c r="K530" s="1">
        <v>2013</v>
      </c>
      <c r="L530" s="1">
        <v>0.96354166666666696</v>
      </c>
      <c r="N530" s="1">
        <v>0.96354166666666696</v>
      </c>
      <c r="O530" s="1">
        <f>(N530-N529)/N529</f>
        <v>-3.1413612565445018E-2</v>
      </c>
      <c r="P530" s="2">
        <v>41451</v>
      </c>
      <c r="Q530" s="1">
        <v>23</v>
      </c>
      <c r="R530" s="1"/>
    </row>
    <row r="531" spans="1:18" x14ac:dyDescent="0.2">
      <c r="A531" s="3">
        <v>530</v>
      </c>
      <c r="B531" s="2">
        <v>41459</v>
      </c>
      <c r="C531" s="1">
        <v>0.23780195169811</v>
      </c>
      <c r="D531" s="1">
        <v>0.24404780566692399</v>
      </c>
      <c r="E531" s="1">
        <v>192</v>
      </c>
      <c r="F531" s="1">
        <v>170</v>
      </c>
      <c r="G531" s="1">
        <v>27.048350694444402</v>
      </c>
      <c r="H531" s="1">
        <v>0.88541666666666696</v>
      </c>
      <c r="I531" s="1">
        <v>0.95833333333333304</v>
      </c>
      <c r="J531" s="1">
        <v>7</v>
      </c>
      <c r="K531" s="1">
        <v>2013</v>
      </c>
      <c r="L531" s="1">
        <v>0.88541666666666696</v>
      </c>
      <c r="N531" s="1">
        <v>0.88541666666666696</v>
      </c>
      <c r="O531" s="1">
        <f>(N531-N530)/N530</f>
        <v>-8.1081081081081058E-2</v>
      </c>
      <c r="P531" s="2">
        <v>41459</v>
      </c>
      <c r="Q531" s="1">
        <v>24</v>
      </c>
      <c r="R531" s="1"/>
    </row>
    <row r="532" spans="1:18" x14ac:dyDescent="0.2">
      <c r="A532" s="3">
        <v>531</v>
      </c>
      <c r="B532" s="2">
        <v>41467</v>
      </c>
      <c r="C532" s="1">
        <v>0.171707706480491</v>
      </c>
      <c r="D532" s="1">
        <v>0.194174525638421</v>
      </c>
      <c r="E532" s="1">
        <v>192</v>
      </c>
      <c r="F532" s="1">
        <v>184</v>
      </c>
      <c r="G532" s="1">
        <v>27.1640972222222</v>
      </c>
      <c r="H532" s="1">
        <v>0.95833333333333304</v>
      </c>
      <c r="I532" s="1">
        <v>0.80729166666666696</v>
      </c>
      <c r="J532" s="1">
        <v>7</v>
      </c>
      <c r="K532" s="1">
        <v>2013</v>
      </c>
      <c r="L532" s="1">
        <v>0.95833333333333304</v>
      </c>
      <c r="N532" s="1">
        <v>0.95833333333333304</v>
      </c>
      <c r="O532" s="1">
        <f>(N532-N531)/N531</f>
        <v>8.2352941176469893E-2</v>
      </c>
      <c r="P532" s="5">
        <v>41467</v>
      </c>
      <c r="Q532" s="1">
        <v>25</v>
      </c>
      <c r="R532" s="1"/>
    </row>
    <row r="533" spans="1:18" x14ac:dyDescent="0.2">
      <c r="A533" s="3">
        <v>532</v>
      </c>
      <c r="B533" s="2">
        <v>41475</v>
      </c>
      <c r="C533" s="1">
        <v>0.16093017867246201</v>
      </c>
      <c r="D533" s="1">
        <v>0.16354942818482701</v>
      </c>
      <c r="E533" s="1">
        <v>192</v>
      </c>
      <c r="F533" s="1">
        <v>155</v>
      </c>
      <c r="G533" s="1">
        <v>26.997378472222199</v>
      </c>
      <c r="H533" s="1">
        <v>0.80729166666666696</v>
      </c>
      <c r="I533" s="1">
        <v>0.69791666666666696</v>
      </c>
      <c r="J533" s="1">
        <v>7</v>
      </c>
      <c r="K533" s="1">
        <v>2013</v>
      </c>
      <c r="L533" s="1"/>
      <c r="M533" s="1">
        <v>0.80729166666666696</v>
      </c>
      <c r="N533" s="1">
        <v>0.80729166666666696</v>
      </c>
      <c r="O533" s="4">
        <f>(N533-N532)/N532</f>
        <v>-0.15760869565217334</v>
      </c>
      <c r="P533" s="2">
        <v>41475</v>
      </c>
      <c r="Q533" s="1">
        <v>26</v>
      </c>
      <c r="R533" s="1"/>
    </row>
    <row r="534" spans="1:18" x14ac:dyDescent="0.2">
      <c r="A534" s="3">
        <v>533</v>
      </c>
      <c r="B534" s="2">
        <v>41483</v>
      </c>
      <c r="C534" s="1">
        <v>0.16244615343484001</v>
      </c>
      <c r="D534" s="1">
        <v>0.18064045161008799</v>
      </c>
      <c r="E534" s="1">
        <v>192</v>
      </c>
      <c r="F534" s="1">
        <v>134</v>
      </c>
      <c r="G534" s="1">
        <v>26.813124999999999</v>
      </c>
      <c r="H534" s="1">
        <v>0.69791666666666696</v>
      </c>
      <c r="I534" s="1">
        <v>0.65104166666666696</v>
      </c>
      <c r="J534" s="1">
        <v>7</v>
      </c>
      <c r="K534" s="1">
        <v>2013</v>
      </c>
      <c r="L534" s="1"/>
      <c r="M534" s="1">
        <v>0.69791666666666696</v>
      </c>
      <c r="N534" s="1">
        <v>0.69791666666666696</v>
      </c>
      <c r="O534" s="1">
        <f>(N534-N533)/N533</f>
        <v>-0.13548387096774189</v>
      </c>
      <c r="P534" s="2">
        <v>41483</v>
      </c>
      <c r="Q534" s="1">
        <v>27</v>
      </c>
      <c r="R534" s="1"/>
    </row>
    <row r="535" spans="1:18" x14ac:dyDescent="0.2">
      <c r="A535" s="3">
        <v>534</v>
      </c>
      <c r="B535" s="2">
        <v>41491</v>
      </c>
      <c r="C535" s="1">
        <v>0.12870971500873599</v>
      </c>
      <c r="D535" s="1">
        <v>0.13839426636695901</v>
      </c>
      <c r="E535" s="1">
        <v>192</v>
      </c>
      <c r="F535" s="1">
        <v>125</v>
      </c>
      <c r="G535" s="1">
        <v>26.8349131944444</v>
      </c>
      <c r="H535" s="1">
        <v>0.65104166666666696</v>
      </c>
      <c r="I535" s="1">
        <v>0.81770833333333304</v>
      </c>
      <c r="J535" s="1">
        <v>8</v>
      </c>
      <c r="K535" s="1">
        <v>2013</v>
      </c>
      <c r="L535" s="1"/>
      <c r="M535" s="1">
        <v>0.65104166666666696</v>
      </c>
      <c r="N535" s="1">
        <v>0.65104166666666696</v>
      </c>
      <c r="O535" s="1">
        <f>(N535-N534)/N534</f>
        <v>-6.7164179104477584E-2</v>
      </c>
      <c r="P535" s="2">
        <v>41491</v>
      </c>
      <c r="Q535" s="1">
        <v>28</v>
      </c>
      <c r="R535" s="1"/>
    </row>
    <row r="536" spans="1:18" x14ac:dyDescent="0.2">
      <c r="A536" s="3">
        <v>535</v>
      </c>
      <c r="B536" s="5">
        <v>41499</v>
      </c>
      <c r="C536" s="1">
        <v>0.125836714498095</v>
      </c>
      <c r="D536" s="1">
        <v>0.12584559991955799</v>
      </c>
      <c r="E536" s="1">
        <v>192</v>
      </c>
      <c r="F536" s="1">
        <v>157</v>
      </c>
      <c r="G536" s="1">
        <v>27.028854166666701</v>
      </c>
      <c r="H536" s="1">
        <v>0.81770833333333304</v>
      </c>
      <c r="I536" s="1">
        <v>0.19270833333333301</v>
      </c>
      <c r="J536" s="1">
        <v>8</v>
      </c>
      <c r="K536" s="1">
        <v>2013</v>
      </c>
      <c r="L536" s="1"/>
      <c r="M536" s="1">
        <v>0.81770833333333304</v>
      </c>
      <c r="N536" s="1">
        <v>0.81770833333333304</v>
      </c>
      <c r="O536" s="1">
        <f>(N536-N535)/N535</f>
        <v>0.25599999999999895</v>
      </c>
      <c r="P536" s="2">
        <v>41499</v>
      </c>
      <c r="Q536" s="1">
        <v>29</v>
      </c>
      <c r="R536" s="1"/>
    </row>
    <row r="537" spans="1:18" x14ac:dyDescent="0.2">
      <c r="A537" s="3">
        <v>536</v>
      </c>
      <c r="B537" s="2">
        <v>41507</v>
      </c>
      <c r="C537" s="1">
        <v>0.13287102493147099</v>
      </c>
      <c r="D537" s="1" t="s">
        <v>0</v>
      </c>
      <c r="E537" s="1">
        <v>192</v>
      </c>
      <c r="F537" s="1">
        <v>37</v>
      </c>
      <c r="G537" s="1">
        <v>26.740347222222201</v>
      </c>
      <c r="H537" s="1">
        <v>0.19270833333333301</v>
      </c>
      <c r="I537" s="1">
        <v>0.49479166666666702</v>
      </c>
      <c r="J537" s="1">
        <v>8</v>
      </c>
      <c r="K537" s="1">
        <v>2013</v>
      </c>
      <c r="L537" s="1"/>
      <c r="M537" s="1">
        <v>0.19270833333333301</v>
      </c>
      <c r="N537" s="1">
        <v>0.19270833333333301</v>
      </c>
      <c r="O537" s="1">
        <f>(N537-N536)/N536</f>
        <v>-0.76433121019108308</v>
      </c>
      <c r="P537" s="2">
        <v>41507</v>
      </c>
      <c r="Q537" s="1">
        <v>30</v>
      </c>
      <c r="R537" s="1"/>
    </row>
    <row r="538" spans="1:18" x14ac:dyDescent="0.2">
      <c r="A538" s="3">
        <v>537</v>
      </c>
      <c r="B538" s="5">
        <v>41515</v>
      </c>
      <c r="C538" s="1">
        <v>0.207348236814141</v>
      </c>
      <c r="D538" s="1" t="s">
        <v>0</v>
      </c>
      <c r="E538" s="1">
        <v>192</v>
      </c>
      <c r="F538" s="1">
        <v>95</v>
      </c>
      <c r="G538" s="1">
        <v>27.050208333333298</v>
      </c>
      <c r="H538" s="1">
        <v>0.49479166666666702</v>
      </c>
      <c r="I538" s="1">
        <v>0.91666666666666696</v>
      </c>
      <c r="J538" s="1">
        <v>8</v>
      </c>
      <c r="K538" s="1">
        <v>2013</v>
      </c>
      <c r="L538" s="1">
        <v>0.49479166666666702</v>
      </c>
      <c r="N538" s="1">
        <v>0.49479166666666702</v>
      </c>
      <c r="O538" s="4">
        <f>(N538-N537)/N537</f>
        <v>1.5675675675675738</v>
      </c>
      <c r="P538" s="5">
        <v>41515</v>
      </c>
      <c r="Q538" s="1">
        <v>31</v>
      </c>
      <c r="R538" s="1"/>
    </row>
    <row r="539" spans="1:18" x14ac:dyDescent="0.2">
      <c r="A539" s="3">
        <v>538</v>
      </c>
      <c r="B539" s="2">
        <v>41523</v>
      </c>
      <c r="C539" s="1">
        <v>0.13615707028657201</v>
      </c>
      <c r="D539" s="1" t="s">
        <v>0</v>
      </c>
      <c r="E539" s="1">
        <v>192</v>
      </c>
      <c r="F539" s="1">
        <v>176</v>
      </c>
      <c r="G539" s="1">
        <v>26.861475694444401</v>
      </c>
      <c r="H539" s="1">
        <v>0.91666666666666696</v>
      </c>
      <c r="I539" s="1">
        <v>0.99479166666666696</v>
      </c>
      <c r="J539" s="1">
        <v>9</v>
      </c>
      <c r="K539" s="1">
        <v>2013</v>
      </c>
      <c r="L539" s="1">
        <v>0.91666666666666696</v>
      </c>
      <c r="N539" s="1">
        <v>0.91666666666666696</v>
      </c>
      <c r="O539" s="1">
        <f>(N539-N538)/N538</f>
        <v>0.85263157894736774</v>
      </c>
      <c r="P539" s="2">
        <v>41523</v>
      </c>
      <c r="Q539" s="1">
        <v>32</v>
      </c>
      <c r="R539" s="1"/>
    </row>
    <row r="540" spans="1:18" x14ac:dyDescent="0.2">
      <c r="A540" s="3">
        <v>539</v>
      </c>
      <c r="B540" s="2">
        <v>41531</v>
      </c>
      <c r="C540" s="1" t="s">
        <v>0</v>
      </c>
      <c r="D540" s="1" t="s">
        <v>0</v>
      </c>
      <c r="E540" s="1">
        <v>192</v>
      </c>
      <c r="F540" s="1">
        <v>191</v>
      </c>
      <c r="G540" s="1">
        <v>26.8066666666667</v>
      </c>
      <c r="H540" s="1">
        <v>0.99479166666666696</v>
      </c>
      <c r="I540" s="1">
        <v>0.984375</v>
      </c>
      <c r="J540" s="1">
        <v>9</v>
      </c>
      <c r="K540" s="1">
        <v>2013</v>
      </c>
      <c r="L540" s="1">
        <v>0.99479166666666696</v>
      </c>
      <c r="N540" s="1">
        <v>0.99479166666666696</v>
      </c>
      <c r="O540" s="1">
        <f>(N540-N539)/N539</f>
        <v>8.5227272727272693E-2</v>
      </c>
      <c r="P540" s="2">
        <v>41531</v>
      </c>
      <c r="Q540" s="1">
        <v>33</v>
      </c>
      <c r="R540" s="1"/>
    </row>
    <row r="541" spans="1:18" x14ac:dyDescent="0.2">
      <c r="A541" s="3">
        <v>540</v>
      </c>
      <c r="B541" s="2">
        <v>41539</v>
      </c>
      <c r="C541" s="1">
        <v>0.20352985018066</v>
      </c>
      <c r="D541" s="1">
        <v>0.20351228117942799</v>
      </c>
      <c r="E541" s="1">
        <v>192</v>
      </c>
      <c r="F541" s="1">
        <v>189</v>
      </c>
      <c r="G541" s="1">
        <v>27.232222222222202</v>
      </c>
      <c r="H541" s="1">
        <v>0.984375</v>
      </c>
      <c r="I541" s="1">
        <v>0.953125</v>
      </c>
      <c r="J541" s="1">
        <v>9</v>
      </c>
      <c r="K541" s="1">
        <v>2013</v>
      </c>
      <c r="L541" s="1">
        <v>0.984375</v>
      </c>
      <c r="N541" s="1">
        <v>0.984375</v>
      </c>
      <c r="O541" s="1">
        <f>(N541-N540)/N540</f>
        <v>-1.0471204188481969E-2</v>
      </c>
      <c r="P541" s="2">
        <v>41539</v>
      </c>
      <c r="Q541" s="1">
        <v>34</v>
      </c>
      <c r="R541" s="1"/>
    </row>
    <row r="542" spans="1:18" x14ac:dyDescent="0.2">
      <c r="A542" s="3">
        <v>541</v>
      </c>
      <c r="B542" s="2">
        <v>41547</v>
      </c>
      <c r="C542" s="1">
        <v>0.13379855864878901</v>
      </c>
      <c r="D542" s="1">
        <v>0.117984715849161</v>
      </c>
      <c r="E542" s="1">
        <v>192</v>
      </c>
      <c r="F542" s="1">
        <v>183</v>
      </c>
      <c r="G542" s="1">
        <v>27.7551736111111</v>
      </c>
      <c r="H542" s="1">
        <v>0.953125</v>
      </c>
      <c r="I542" s="1">
        <v>0.99479166666666696</v>
      </c>
      <c r="J542" s="1">
        <v>9</v>
      </c>
      <c r="K542" s="1">
        <v>2013</v>
      </c>
      <c r="L542" s="1">
        <v>0.953125</v>
      </c>
      <c r="N542" s="1">
        <v>0.953125</v>
      </c>
      <c r="O542" s="1">
        <f>(N542-N541)/N541</f>
        <v>-3.1746031746031744E-2</v>
      </c>
      <c r="P542" s="2">
        <v>41547</v>
      </c>
      <c r="Q542" s="1">
        <v>35</v>
      </c>
      <c r="R542" s="1"/>
    </row>
    <row r="543" spans="1:18" x14ac:dyDescent="0.2">
      <c r="A543" s="3">
        <v>542</v>
      </c>
      <c r="B543" s="2">
        <v>41555</v>
      </c>
      <c r="C543" s="1">
        <v>0.124182687089668</v>
      </c>
      <c r="D543" s="1">
        <v>0.139787152409554</v>
      </c>
      <c r="E543" s="1">
        <v>192</v>
      </c>
      <c r="F543" s="1">
        <v>191</v>
      </c>
      <c r="G543" s="1">
        <v>27.990104166666701</v>
      </c>
      <c r="H543" s="1">
        <v>0.99479166666666696</v>
      </c>
      <c r="I543" s="1">
        <v>0.83854166666666696</v>
      </c>
      <c r="J543" s="1">
        <v>10</v>
      </c>
      <c r="K543" s="1">
        <v>2013</v>
      </c>
      <c r="L543" s="1">
        <v>0.99479166666666696</v>
      </c>
      <c r="N543" s="1">
        <v>0.99479166666666696</v>
      </c>
      <c r="O543" s="1">
        <f>(N543-N542)/N542</f>
        <v>4.3715846994535831E-2</v>
      </c>
      <c r="P543" s="2">
        <v>41555</v>
      </c>
      <c r="Q543" s="1">
        <v>36</v>
      </c>
      <c r="R543" s="1"/>
    </row>
    <row r="544" spans="1:18" x14ac:dyDescent="0.2">
      <c r="A544" s="3">
        <v>543</v>
      </c>
      <c r="B544" s="2">
        <v>41563</v>
      </c>
      <c r="C544" s="1">
        <v>0.119227135622943</v>
      </c>
      <c r="D544" s="1">
        <v>0.120682492852211</v>
      </c>
      <c r="E544" s="1">
        <v>192</v>
      </c>
      <c r="F544" s="1">
        <v>161</v>
      </c>
      <c r="G544" s="1">
        <v>28.199791666666702</v>
      </c>
      <c r="H544" s="1">
        <v>0.83854166666666696</v>
      </c>
      <c r="I544" s="1">
        <v>0.44270833333333298</v>
      </c>
      <c r="J544" s="1">
        <v>10</v>
      </c>
      <c r="K544" s="1">
        <v>2013</v>
      </c>
      <c r="L544" s="1">
        <v>0.83854166666666696</v>
      </c>
      <c r="N544" s="1">
        <v>0.83854166666666696</v>
      </c>
      <c r="O544" s="1">
        <f>(N544-N543)/N543</f>
        <v>-0.15706806282722507</v>
      </c>
      <c r="P544" s="2">
        <v>41563</v>
      </c>
      <c r="Q544" s="1">
        <v>37</v>
      </c>
      <c r="R544" s="1"/>
    </row>
    <row r="545" spans="1:18" x14ac:dyDescent="0.2">
      <c r="A545" s="3">
        <v>544</v>
      </c>
      <c r="B545" s="5">
        <v>41571</v>
      </c>
      <c r="C545" s="1">
        <v>0.105468568256062</v>
      </c>
      <c r="D545" s="1">
        <v>0.10250608995556799</v>
      </c>
      <c r="E545" s="1">
        <v>192</v>
      </c>
      <c r="F545" s="1">
        <v>85</v>
      </c>
      <c r="G545" s="1">
        <v>28.3488020833333</v>
      </c>
      <c r="H545" s="1">
        <v>0.44270833333333298</v>
      </c>
      <c r="I545" s="1">
        <v>0.21354166666666699</v>
      </c>
      <c r="J545" s="1">
        <v>10</v>
      </c>
      <c r="K545" s="1">
        <v>2013</v>
      </c>
      <c r="L545" s="1">
        <v>0.44270833333333298</v>
      </c>
      <c r="N545" s="1">
        <v>0.44270833333333298</v>
      </c>
      <c r="O545" s="1">
        <f>(N545-N544)/N544</f>
        <v>-0.4720496894409944</v>
      </c>
      <c r="P545" s="5">
        <v>41571</v>
      </c>
      <c r="Q545" s="1">
        <v>38</v>
      </c>
      <c r="R545" s="1"/>
    </row>
    <row r="546" spans="1:18" x14ac:dyDescent="0.2">
      <c r="A546" s="3">
        <v>545</v>
      </c>
      <c r="B546" s="2">
        <v>41579</v>
      </c>
      <c r="C546" s="1">
        <v>9.5130731662114498E-2</v>
      </c>
      <c r="D546" s="1" t="s">
        <v>0</v>
      </c>
      <c r="E546" s="1">
        <v>192</v>
      </c>
      <c r="F546" s="1">
        <v>41</v>
      </c>
      <c r="G546" s="1">
        <v>28.269982638888902</v>
      </c>
      <c r="H546" s="1">
        <v>0.21354166666666699</v>
      </c>
      <c r="I546" s="1">
        <v>0.265625</v>
      </c>
      <c r="J546" s="1">
        <v>11</v>
      </c>
      <c r="K546" s="1">
        <v>2013</v>
      </c>
      <c r="L546" s="1"/>
      <c r="M546" s="1">
        <v>0.21354166666666699</v>
      </c>
      <c r="N546" s="1">
        <v>0.21354166666666699</v>
      </c>
      <c r="O546" s="4">
        <f>(N546-N545)/N545</f>
        <v>-0.51764705882352835</v>
      </c>
      <c r="P546" s="2">
        <v>41579</v>
      </c>
      <c r="Q546" s="1">
        <v>39</v>
      </c>
      <c r="R546" s="1"/>
    </row>
    <row r="547" spans="1:18" x14ac:dyDescent="0.2">
      <c r="A547" s="3">
        <v>546</v>
      </c>
      <c r="B547" s="2">
        <v>41587</v>
      </c>
      <c r="C547" s="1">
        <v>9.54835640661644E-2</v>
      </c>
      <c r="D547" s="1">
        <v>0.109185648461183</v>
      </c>
      <c r="E547" s="1">
        <v>192</v>
      </c>
      <c r="F547" s="1">
        <v>51</v>
      </c>
      <c r="G547" s="1">
        <v>28.579201388888901</v>
      </c>
      <c r="H547" s="1">
        <v>0.265625</v>
      </c>
      <c r="I547" s="1">
        <v>4.6875E-2</v>
      </c>
      <c r="J547" s="1">
        <v>11</v>
      </c>
      <c r="K547" s="1">
        <v>2013</v>
      </c>
      <c r="L547" s="1"/>
      <c r="M547" s="1">
        <v>0.265625</v>
      </c>
      <c r="N547" s="1">
        <v>0.265625</v>
      </c>
      <c r="O547" s="1">
        <f>(N547-N546)/N546</f>
        <v>0.24390243902438835</v>
      </c>
      <c r="P547" s="2">
        <v>41587</v>
      </c>
      <c r="Q547" s="1">
        <v>40</v>
      </c>
      <c r="R547" s="1"/>
    </row>
    <row r="548" spans="1:18" x14ac:dyDescent="0.2">
      <c r="A548" s="3">
        <v>547</v>
      </c>
      <c r="B548" s="2">
        <v>41595</v>
      </c>
      <c r="C548" s="1">
        <v>0.104132138431454</v>
      </c>
      <c r="D548" s="1">
        <v>0.104758659998576</v>
      </c>
      <c r="E548" s="1">
        <v>192</v>
      </c>
      <c r="F548" s="1">
        <v>9</v>
      </c>
      <c r="G548" s="1">
        <v>28.8783159722222</v>
      </c>
      <c r="H548" s="1">
        <v>4.6875E-2</v>
      </c>
      <c r="I548" s="1">
        <v>0.22916666666666699</v>
      </c>
      <c r="J548" s="1">
        <v>11</v>
      </c>
      <c r="K548" s="1">
        <v>2013</v>
      </c>
      <c r="L548" s="1"/>
      <c r="M548" s="1">
        <v>4.6875E-2</v>
      </c>
      <c r="N548" s="1">
        <v>4.6875E-2</v>
      </c>
      <c r="O548" s="1">
        <f>(N548-N547)/N547</f>
        <v>-0.82352941176470584</v>
      </c>
      <c r="P548" s="2">
        <v>41595</v>
      </c>
      <c r="Q548" s="1">
        <v>41</v>
      </c>
      <c r="R548" s="1"/>
    </row>
    <row r="549" spans="1:18" x14ac:dyDescent="0.2">
      <c r="A549" s="3">
        <v>548</v>
      </c>
      <c r="B549" s="2">
        <v>41603</v>
      </c>
      <c r="C549" s="1">
        <v>9.6699956301096304E-2</v>
      </c>
      <c r="D549" s="1">
        <v>8.7509922683238997E-2</v>
      </c>
      <c r="E549" s="1">
        <v>192</v>
      </c>
      <c r="F549" s="1">
        <v>44</v>
      </c>
      <c r="G549" s="1">
        <v>29.175486111111098</v>
      </c>
      <c r="H549" s="1">
        <v>0.22916666666666699</v>
      </c>
      <c r="I549" s="1">
        <v>0.13020833333333301</v>
      </c>
      <c r="J549" s="1">
        <v>11</v>
      </c>
      <c r="K549" s="1">
        <v>2013</v>
      </c>
      <c r="L549" s="1"/>
      <c r="M549" s="1">
        <v>0.22916666666666699</v>
      </c>
      <c r="N549" s="1">
        <v>0.22916666666666699</v>
      </c>
      <c r="O549" s="1">
        <f>(N549-N548)/N548</f>
        <v>3.8888888888888959</v>
      </c>
      <c r="P549" s="2">
        <v>41603</v>
      </c>
      <c r="Q549" s="1">
        <v>42</v>
      </c>
      <c r="R549" s="1"/>
    </row>
    <row r="550" spans="1:18" x14ac:dyDescent="0.2">
      <c r="A550" s="3">
        <v>549</v>
      </c>
      <c r="B550" s="2">
        <v>41611</v>
      </c>
      <c r="C550" s="1">
        <v>9.7371933640728506E-2</v>
      </c>
      <c r="D550" s="1">
        <v>8.2160562276840196E-2</v>
      </c>
      <c r="E550" s="1">
        <v>192</v>
      </c>
      <c r="F550" s="1">
        <v>25</v>
      </c>
      <c r="G550" s="1">
        <v>29.274357638888901</v>
      </c>
      <c r="H550" s="1">
        <v>0.13020833333333301</v>
      </c>
      <c r="I550" s="1">
        <v>1.5625E-2</v>
      </c>
      <c r="J550" s="1">
        <v>12</v>
      </c>
      <c r="K550" s="1">
        <v>2013</v>
      </c>
      <c r="L550" s="1"/>
      <c r="M550" s="1">
        <v>0.13020833333333301</v>
      </c>
      <c r="N550" s="1">
        <v>0.13020833333333301</v>
      </c>
      <c r="O550" s="1">
        <f>(N550-N549)/N549</f>
        <v>-0.43181818181818404</v>
      </c>
      <c r="P550" s="2">
        <v>41611</v>
      </c>
      <c r="Q550" s="1">
        <v>43</v>
      </c>
      <c r="R550" s="1"/>
    </row>
    <row r="551" spans="1:18" x14ac:dyDescent="0.2">
      <c r="A551" s="3">
        <v>550</v>
      </c>
      <c r="B551" s="2">
        <v>41619</v>
      </c>
      <c r="C551" s="1" t="s">
        <v>0</v>
      </c>
      <c r="D551" s="1" t="s">
        <v>0</v>
      </c>
      <c r="E551" s="1">
        <v>192</v>
      </c>
      <c r="F551" s="1">
        <v>3</v>
      </c>
      <c r="G551" s="1">
        <v>28.706510416666699</v>
      </c>
      <c r="H551" s="1">
        <v>1.5625E-2</v>
      </c>
      <c r="I551" s="1">
        <v>3.125E-2</v>
      </c>
      <c r="J551" s="1">
        <v>12</v>
      </c>
      <c r="K551" s="1">
        <v>2013</v>
      </c>
      <c r="L551" s="1"/>
      <c r="M551" s="1">
        <v>1.5625E-2</v>
      </c>
      <c r="N551" s="1">
        <v>1.5625E-2</v>
      </c>
      <c r="O551" s="1">
        <f>(N551-N550)/N550</f>
        <v>-0.87999999999999967</v>
      </c>
      <c r="P551" s="2">
        <v>41619</v>
      </c>
      <c r="Q551" s="1">
        <v>44</v>
      </c>
      <c r="R551" s="1"/>
    </row>
    <row r="552" spans="1:18" x14ac:dyDescent="0.2">
      <c r="A552" s="3">
        <v>551</v>
      </c>
      <c r="B552" s="2">
        <v>41627</v>
      </c>
      <c r="C552" s="1">
        <v>9.8949346691369996E-2</v>
      </c>
      <c r="D552" s="1" t="s">
        <v>0</v>
      </c>
      <c r="E552" s="1">
        <v>192</v>
      </c>
      <c r="F552" s="1">
        <v>6</v>
      </c>
      <c r="G552" s="1">
        <v>28.704513888888901</v>
      </c>
      <c r="H552" s="1">
        <v>3.125E-2</v>
      </c>
      <c r="I552" s="1">
        <v>8.3333333333333297E-3</v>
      </c>
      <c r="J552" s="1">
        <v>12</v>
      </c>
      <c r="K552" s="1">
        <v>2013</v>
      </c>
      <c r="L552" s="1"/>
      <c r="M552" s="1">
        <v>3.125E-2</v>
      </c>
      <c r="N552" s="1">
        <v>3.125E-2</v>
      </c>
      <c r="O552" s="1">
        <f>(N552-N551)/N551</f>
        <v>1</v>
      </c>
      <c r="P552" s="2">
        <v>41627</v>
      </c>
      <c r="Q552" s="1">
        <v>45</v>
      </c>
      <c r="R552" s="1"/>
    </row>
    <row r="553" spans="1:18" x14ac:dyDescent="0.2">
      <c r="A553" s="3">
        <v>552</v>
      </c>
      <c r="B553" s="2">
        <v>41635</v>
      </c>
      <c r="C553" s="1">
        <v>9.1153808585975493E-2</v>
      </c>
      <c r="D553" s="1" t="s">
        <v>0</v>
      </c>
      <c r="E553" s="1">
        <v>120</v>
      </c>
      <c r="F553" s="1">
        <v>1</v>
      </c>
      <c r="G553" s="1">
        <v>29.123805555555599</v>
      </c>
      <c r="H553" s="1">
        <v>8.3333333333333297E-3</v>
      </c>
      <c r="I553" s="1">
        <v>3.6458333333333301E-2</v>
      </c>
      <c r="J553" s="1">
        <v>12</v>
      </c>
      <c r="K553" s="1">
        <v>2013</v>
      </c>
      <c r="L553" s="1"/>
      <c r="M553" s="1">
        <v>8.3333333333333297E-3</v>
      </c>
      <c r="N553" s="1">
        <v>8.3333333333333297E-3</v>
      </c>
      <c r="O553" s="1">
        <f>(N553-N552)/N552</f>
        <v>-0.73333333333333339</v>
      </c>
      <c r="P553" s="2">
        <v>41635</v>
      </c>
      <c r="Q553" s="1">
        <v>46</v>
      </c>
      <c r="R553" s="1"/>
    </row>
    <row r="554" spans="1:18" x14ac:dyDescent="0.2">
      <c r="A554" s="3">
        <v>553</v>
      </c>
      <c r="B554" s="2">
        <v>41640</v>
      </c>
      <c r="C554" s="1">
        <v>9.3308514182237901E-2</v>
      </c>
      <c r="D554" s="1">
        <v>8.7259820351998002E-2</v>
      </c>
      <c r="E554" s="1">
        <v>192</v>
      </c>
      <c r="F554" s="1">
        <v>7</v>
      </c>
      <c r="G554" s="1">
        <v>29.308940972222199</v>
      </c>
      <c r="H554" s="1">
        <v>3.6458333333333301E-2</v>
      </c>
      <c r="I554" s="1">
        <v>0.109375</v>
      </c>
      <c r="J554" s="1">
        <v>1</v>
      </c>
      <c r="K554" s="1">
        <v>2014</v>
      </c>
      <c r="L554" s="1"/>
      <c r="M554" s="1">
        <v>3.6458333333333301E-2</v>
      </c>
      <c r="N554" s="1">
        <v>3.6458333333333301E-2</v>
      </c>
      <c r="O554" s="1">
        <f>(N554-N553)/N553</f>
        <v>3.3749999999999978</v>
      </c>
      <c r="P554" s="2">
        <v>41640</v>
      </c>
      <c r="Q554" s="1">
        <v>1</v>
      </c>
      <c r="R554" s="1"/>
    </row>
    <row r="555" spans="1:18" x14ac:dyDescent="0.2">
      <c r="A555" s="3">
        <v>554</v>
      </c>
      <c r="B555" s="2">
        <v>41648</v>
      </c>
      <c r="C555" s="1">
        <v>0.114681950211525</v>
      </c>
      <c r="D555" s="1" t="s">
        <v>0</v>
      </c>
      <c r="E555" s="1">
        <v>192</v>
      </c>
      <c r="F555" s="1">
        <v>21</v>
      </c>
      <c r="G555" s="1">
        <v>29.107777777777802</v>
      </c>
      <c r="H555" s="1">
        <v>0.109375</v>
      </c>
      <c r="I555" s="1">
        <v>5.7291666666666699E-2</v>
      </c>
      <c r="J555" s="1">
        <v>1</v>
      </c>
      <c r="K555" s="1">
        <v>2014</v>
      </c>
      <c r="L555" s="1"/>
      <c r="M555" s="1">
        <v>0.109375</v>
      </c>
      <c r="N555" s="1">
        <v>0.109375</v>
      </c>
      <c r="O555" s="1">
        <f>(N555-N554)/N554</f>
        <v>2.0000000000000027</v>
      </c>
      <c r="P555" s="2">
        <v>41648</v>
      </c>
      <c r="Q555" s="1">
        <v>2</v>
      </c>
      <c r="R555" s="1"/>
    </row>
    <row r="556" spans="1:18" x14ac:dyDescent="0.2">
      <c r="A556" s="3">
        <v>555</v>
      </c>
      <c r="B556" s="2">
        <v>41656</v>
      </c>
      <c r="C556" s="1">
        <v>8.5560213137221994E-2</v>
      </c>
      <c r="D556" s="1">
        <v>8.6777709424495697E-2</v>
      </c>
      <c r="E556" s="1">
        <v>192</v>
      </c>
      <c r="F556" s="1">
        <v>11</v>
      </c>
      <c r="G556" s="1">
        <v>29.599045138888901</v>
      </c>
      <c r="H556" s="1">
        <v>5.7291666666666699E-2</v>
      </c>
      <c r="I556" s="1">
        <v>1.5625E-2</v>
      </c>
      <c r="J556" s="1">
        <v>1</v>
      </c>
      <c r="K556" s="1">
        <v>2014</v>
      </c>
      <c r="L556" s="1"/>
      <c r="M556" s="1">
        <v>5.7291666666666699E-2</v>
      </c>
      <c r="N556" s="1">
        <v>5.7291666666666699E-2</v>
      </c>
      <c r="O556" s="1">
        <f>(N556-N555)/N555</f>
        <v>-0.47619047619047589</v>
      </c>
      <c r="P556" s="2">
        <v>41656</v>
      </c>
      <c r="Q556" s="1">
        <v>3</v>
      </c>
      <c r="R556" s="1"/>
    </row>
    <row r="557" spans="1:18" x14ac:dyDescent="0.2">
      <c r="A557" s="3">
        <v>556</v>
      </c>
      <c r="B557" s="2">
        <v>41664</v>
      </c>
      <c r="C557" s="1">
        <v>7.3143865351807599E-2</v>
      </c>
      <c r="D557" s="1">
        <v>7.3333670695622799E-2</v>
      </c>
      <c r="E557" s="1">
        <v>192</v>
      </c>
      <c r="F557" s="1">
        <v>3</v>
      </c>
      <c r="G557" s="1">
        <v>29.403246527777799</v>
      </c>
      <c r="H557" s="1">
        <v>1.5625E-2</v>
      </c>
      <c r="I557" s="1">
        <v>0</v>
      </c>
      <c r="J557" s="1">
        <v>1</v>
      </c>
      <c r="K557" s="1">
        <v>2014</v>
      </c>
      <c r="L557" s="1"/>
      <c r="M557" s="1">
        <v>1.5625E-2</v>
      </c>
      <c r="N557" s="1">
        <v>1.5625E-2</v>
      </c>
      <c r="O557" s="1">
        <f>(N557-N556)/N556</f>
        <v>-0.7272727272727274</v>
      </c>
      <c r="P557" s="2">
        <v>41664</v>
      </c>
      <c r="Q557" s="1">
        <v>4</v>
      </c>
      <c r="R557" s="1"/>
    </row>
    <row r="558" spans="1:18" x14ac:dyDescent="0.2">
      <c r="A558" s="3">
        <v>557</v>
      </c>
      <c r="B558" s="2">
        <v>41672</v>
      </c>
      <c r="C558" s="1">
        <v>0.101127091243311</v>
      </c>
      <c r="D558" s="1" t="s">
        <v>0</v>
      </c>
      <c r="E558" s="1">
        <v>192</v>
      </c>
      <c r="F558" s="1">
        <v>0</v>
      </c>
      <c r="G558" s="1">
        <v>28.93359375</v>
      </c>
      <c r="H558" s="1">
        <v>0</v>
      </c>
      <c r="I558" s="1">
        <v>0</v>
      </c>
      <c r="J558" s="1">
        <v>2</v>
      </c>
      <c r="K558" s="1">
        <v>2014</v>
      </c>
      <c r="L558" s="1"/>
      <c r="M558" s="1">
        <v>1E-3</v>
      </c>
      <c r="N558" s="1">
        <v>1E-3</v>
      </c>
      <c r="O558" s="1">
        <f>(N558-N557)/N557</f>
        <v>-0.93599999999999994</v>
      </c>
      <c r="P558" s="2">
        <v>41672</v>
      </c>
      <c r="Q558" s="1">
        <v>5</v>
      </c>
      <c r="R558" s="1"/>
    </row>
    <row r="559" spans="1:18" x14ac:dyDescent="0.2">
      <c r="A559" s="3">
        <v>558</v>
      </c>
      <c r="B559" s="2">
        <v>41680</v>
      </c>
      <c r="C559" s="1">
        <v>8.6217176169157E-2</v>
      </c>
      <c r="D559" s="1" t="s">
        <v>0</v>
      </c>
      <c r="E559" s="1">
        <v>192</v>
      </c>
      <c r="F559" s="1">
        <v>0</v>
      </c>
      <c r="G559" s="1">
        <v>28.9725</v>
      </c>
      <c r="H559" s="1">
        <v>0</v>
      </c>
      <c r="I559" s="1">
        <v>0</v>
      </c>
      <c r="J559" s="1">
        <v>2</v>
      </c>
      <c r="K559" s="1">
        <v>2014</v>
      </c>
      <c r="L559" s="1"/>
      <c r="M559" s="1">
        <v>1E-3</v>
      </c>
      <c r="N559" s="1">
        <v>1E-3</v>
      </c>
      <c r="O559" s="1">
        <f>(N559-N558)/N558</f>
        <v>0</v>
      </c>
      <c r="P559" s="2">
        <v>41680</v>
      </c>
      <c r="Q559" s="1">
        <v>6</v>
      </c>
      <c r="R559" s="1"/>
    </row>
    <row r="560" spans="1:18" x14ac:dyDescent="0.2">
      <c r="A560" s="3">
        <v>559</v>
      </c>
      <c r="B560" s="2">
        <v>41688</v>
      </c>
      <c r="C560" s="1">
        <v>9.1728083282506395E-2</v>
      </c>
      <c r="D560" s="1">
        <v>8.8269026329119996E-2</v>
      </c>
      <c r="E560" s="1">
        <v>192</v>
      </c>
      <c r="F560" s="1">
        <v>0</v>
      </c>
      <c r="G560" s="1">
        <v>29.139531250000001</v>
      </c>
      <c r="H560" s="1">
        <v>0</v>
      </c>
      <c r="I560" s="1">
        <v>0.17782426778242699</v>
      </c>
      <c r="J560" s="1">
        <v>2</v>
      </c>
      <c r="K560" s="1">
        <v>2014</v>
      </c>
      <c r="L560" s="1"/>
      <c r="M560" s="1">
        <v>1E-3</v>
      </c>
      <c r="N560" s="1">
        <v>1E-3</v>
      </c>
      <c r="O560" s="1">
        <f>(N560-N559)/N559</f>
        <v>0</v>
      </c>
      <c r="P560" s="2">
        <v>41688</v>
      </c>
      <c r="Q560" s="1">
        <v>7</v>
      </c>
      <c r="R560" s="1"/>
    </row>
    <row r="561" spans="1:18" x14ac:dyDescent="0.2">
      <c r="A561" s="3">
        <v>560</v>
      </c>
      <c r="B561" s="2">
        <v>41696</v>
      </c>
      <c r="C561" s="1">
        <v>8.2696058362925096E-2</v>
      </c>
      <c r="D561" s="1">
        <v>8.3094460268815395E-2</v>
      </c>
      <c r="E561" s="1">
        <v>191.2</v>
      </c>
      <c r="F561" s="1">
        <v>34</v>
      </c>
      <c r="G561" s="1">
        <v>29.240868055555602</v>
      </c>
      <c r="H561" s="1">
        <v>0.17782426778242699</v>
      </c>
      <c r="I561" s="1">
        <v>0.125260960334029</v>
      </c>
      <c r="J561" s="1">
        <v>2</v>
      </c>
      <c r="K561" s="1">
        <v>2014</v>
      </c>
      <c r="L561" s="1"/>
      <c r="M561" s="1">
        <v>0.17782426778242699</v>
      </c>
      <c r="N561" s="1">
        <v>0.17782426778242699</v>
      </c>
      <c r="O561" s="1">
        <f>(N561-N560)/N560</f>
        <v>176.824267782427</v>
      </c>
      <c r="P561" s="2">
        <v>41696</v>
      </c>
      <c r="Q561" s="1">
        <v>8</v>
      </c>
      <c r="R561" s="1"/>
    </row>
    <row r="562" spans="1:18" x14ac:dyDescent="0.2">
      <c r="A562" s="3">
        <v>561</v>
      </c>
      <c r="B562" s="2">
        <v>41704</v>
      </c>
      <c r="C562" s="1">
        <v>9.0264931074436103E-2</v>
      </c>
      <c r="D562" s="1">
        <v>8.9688106129566805E-2</v>
      </c>
      <c r="E562" s="1">
        <v>191.6</v>
      </c>
      <c r="F562" s="1">
        <v>24</v>
      </c>
      <c r="G562" s="1">
        <v>29.4237326388889</v>
      </c>
      <c r="H562" s="1">
        <v>0.125260960334029</v>
      </c>
      <c r="I562" s="1">
        <v>0.3125</v>
      </c>
      <c r="J562" s="1">
        <v>3</v>
      </c>
      <c r="K562" s="1">
        <v>2014</v>
      </c>
      <c r="L562" s="1"/>
      <c r="M562" s="1">
        <v>0.125260960334029</v>
      </c>
      <c r="N562" s="1">
        <v>0.125260960334029</v>
      </c>
      <c r="O562" s="1">
        <f>(N562-N561)/N561</f>
        <v>-0.29559130541569656</v>
      </c>
      <c r="P562" s="2">
        <v>41704</v>
      </c>
      <c r="Q562" s="1">
        <v>9</v>
      </c>
      <c r="R562" s="1"/>
    </row>
    <row r="563" spans="1:18" x14ac:dyDescent="0.2">
      <c r="A563" s="3">
        <v>562</v>
      </c>
      <c r="B563" s="2">
        <v>41712</v>
      </c>
      <c r="C563" s="1">
        <v>9.8799691152046704E-2</v>
      </c>
      <c r="D563" s="1" t="s">
        <v>0</v>
      </c>
      <c r="E563" s="1">
        <v>192</v>
      </c>
      <c r="F563" s="1">
        <v>60</v>
      </c>
      <c r="G563" s="1">
        <v>29.250954861111101</v>
      </c>
      <c r="H563" s="1">
        <v>0.3125</v>
      </c>
      <c r="I563" s="1">
        <v>0.19791666666666699</v>
      </c>
      <c r="J563" s="1">
        <v>3</v>
      </c>
      <c r="K563" s="1">
        <v>2014</v>
      </c>
      <c r="L563" s="1"/>
      <c r="M563" s="1">
        <v>0.3125</v>
      </c>
      <c r="N563" s="1">
        <v>0.3125</v>
      </c>
      <c r="O563" s="1">
        <f>(N563-N562)/N562</f>
        <v>1.4947916666666712</v>
      </c>
      <c r="P563" s="2">
        <v>41712</v>
      </c>
      <c r="Q563" s="1">
        <v>10</v>
      </c>
      <c r="R563" s="1"/>
    </row>
    <row r="564" spans="1:18" x14ac:dyDescent="0.2">
      <c r="A564" s="3">
        <v>563</v>
      </c>
      <c r="B564" s="2">
        <v>41720</v>
      </c>
      <c r="C564" s="1">
        <v>9.0401788844781797E-2</v>
      </c>
      <c r="D564" s="1">
        <v>9.9736198782920796E-2</v>
      </c>
      <c r="E564" s="1">
        <v>192</v>
      </c>
      <c r="F564" s="1">
        <v>38</v>
      </c>
      <c r="G564" s="1">
        <v>28.982413194444401</v>
      </c>
      <c r="H564" s="1">
        <v>0.19791666666666699</v>
      </c>
      <c r="I564" s="1">
        <v>5.2083333333333296E-3</v>
      </c>
      <c r="J564" s="1">
        <v>3</v>
      </c>
      <c r="K564" s="1">
        <v>2014</v>
      </c>
      <c r="L564" s="1"/>
      <c r="M564" s="1">
        <v>0.19791666666666699</v>
      </c>
      <c r="N564" s="1">
        <v>0.19791666666666699</v>
      </c>
      <c r="O564" s="1">
        <f>(N564-N563)/N563</f>
        <v>-0.36666666666666564</v>
      </c>
      <c r="P564" s="2">
        <v>41720</v>
      </c>
      <c r="Q564" s="1">
        <v>11</v>
      </c>
      <c r="R564" s="1"/>
    </row>
    <row r="565" spans="1:18" x14ac:dyDescent="0.2">
      <c r="A565" s="3">
        <v>564</v>
      </c>
      <c r="B565" s="2">
        <v>41728</v>
      </c>
      <c r="C565" s="1">
        <v>7.7575834142783295E-2</v>
      </c>
      <c r="D565" s="1">
        <v>7.5888715684413896E-2</v>
      </c>
      <c r="E565" s="1">
        <v>192</v>
      </c>
      <c r="F565" s="1">
        <v>1</v>
      </c>
      <c r="G565" s="1">
        <v>29.063541666666701</v>
      </c>
      <c r="H565" s="1">
        <v>5.2083333333333296E-3</v>
      </c>
      <c r="I565" s="1">
        <v>2.0833333333333301E-2</v>
      </c>
      <c r="J565" s="1">
        <v>3</v>
      </c>
      <c r="K565" s="1">
        <v>2014</v>
      </c>
      <c r="L565" s="1"/>
      <c r="M565" s="1">
        <v>5.2083333333333296E-3</v>
      </c>
      <c r="N565" s="1">
        <v>5.2083333333333296E-3</v>
      </c>
      <c r="O565" s="1">
        <f>(N565-N564)/N564</f>
        <v>-0.97368421052631582</v>
      </c>
      <c r="P565" s="2">
        <v>41728</v>
      </c>
      <c r="Q565" s="1">
        <v>12</v>
      </c>
      <c r="R565" s="1"/>
    </row>
    <row r="566" spans="1:18" x14ac:dyDescent="0.2">
      <c r="A566" s="3">
        <v>565</v>
      </c>
      <c r="B566" s="2">
        <v>41736</v>
      </c>
      <c r="C566" s="1">
        <v>8.2549993042488501E-2</v>
      </c>
      <c r="D566" s="1">
        <v>8.0521933734417003E-2</v>
      </c>
      <c r="E566" s="1">
        <v>192</v>
      </c>
      <c r="F566" s="1">
        <v>4</v>
      </c>
      <c r="G566" s="1">
        <v>29.4958506944444</v>
      </c>
      <c r="H566" s="1">
        <v>2.0833333333333301E-2</v>
      </c>
      <c r="I566" s="1">
        <v>1.0416666666666701E-2</v>
      </c>
      <c r="J566" s="1">
        <v>4</v>
      </c>
      <c r="K566" s="1">
        <v>2014</v>
      </c>
      <c r="L566" s="1"/>
      <c r="M566" s="1">
        <v>2.0833333333333301E-2</v>
      </c>
      <c r="N566" s="1">
        <v>2.0833333333333301E-2</v>
      </c>
      <c r="O566" s="1">
        <f>(N566-N565)/N565</f>
        <v>2.9999999999999969</v>
      </c>
      <c r="P566" s="2">
        <v>41736</v>
      </c>
      <c r="Q566" s="1">
        <v>13</v>
      </c>
      <c r="R566" s="1"/>
    </row>
    <row r="567" spans="1:18" x14ac:dyDescent="0.2">
      <c r="A567" s="3">
        <v>566</v>
      </c>
      <c r="B567" s="2">
        <v>41744</v>
      </c>
      <c r="C567" s="1">
        <v>7.7163813030061507E-2</v>
      </c>
      <c r="D567" s="1">
        <v>7.4782524257898303E-2</v>
      </c>
      <c r="E567" s="1">
        <v>192</v>
      </c>
      <c r="F567" s="1">
        <v>2</v>
      </c>
      <c r="G567" s="1">
        <v>29.6738541666667</v>
      </c>
      <c r="H567" s="1">
        <v>1.0416666666666701E-2</v>
      </c>
      <c r="I567" s="1">
        <v>5.2083333333333296E-3</v>
      </c>
      <c r="J567" s="1">
        <v>4</v>
      </c>
      <c r="K567" s="1">
        <v>2014</v>
      </c>
      <c r="L567" s="1"/>
      <c r="M567" s="1">
        <v>1.0416666666666701E-2</v>
      </c>
      <c r="N567" s="1">
        <v>1.0416666666666701E-2</v>
      </c>
      <c r="O567" s="1">
        <f>(N567-N566)/N566</f>
        <v>-0.49999999999999756</v>
      </c>
      <c r="P567" s="2">
        <v>41744</v>
      </c>
      <c r="Q567" s="1">
        <v>14</v>
      </c>
      <c r="R567" s="1"/>
    </row>
    <row r="568" spans="1:18" x14ac:dyDescent="0.2">
      <c r="A568" s="3">
        <v>567</v>
      </c>
      <c r="B568" s="2">
        <v>41752</v>
      </c>
      <c r="C568" s="1">
        <v>7.1105491972583201E-2</v>
      </c>
      <c r="D568" s="1">
        <v>9.3514036387205096E-2</v>
      </c>
      <c r="E568" s="1">
        <v>192</v>
      </c>
      <c r="F568" s="1">
        <v>1</v>
      </c>
      <c r="G568" s="1">
        <v>29.254114583333301</v>
      </c>
      <c r="H568" s="1">
        <v>5.2083333333333296E-3</v>
      </c>
      <c r="I568" s="1">
        <v>0.104166666666667</v>
      </c>
      <c r="J568" s="1">
        <v>4</v>
      </c>
      <c r="K568" s="1">
        <v>2014</v>
      </c>
      <c r="L568" s="1"/>
      <c r="M568" s="1">
        <v>5.2083333333333296E-3</v>
      </c>
      <c r="N568" s="1">
        <v>5.2083333333333296E-3</v>
      </c>
      <c r="O568" s="1">
        <f>(N568-N567)/N567</f>
        <v>-0.500000000000002</v>
      </c>
      <c r="P568" s="2">
        <v>41752</v>
      </c>
      <c r="Q568" s="1">
        <v>15</v>
      </c>
      <c r="R568" s="1"/>
    </row>
    <row r="569" spans="1:18" x14ac:dyDescent="0.2">
      <c r="A569" s="3">
        <v>568</v>
      </c>
      <c r="B569" s="2">
        <v>41760</v>
      </c>
      <c r="C569" s="1">
        <v>9.4118543300363705E-2</v>
      </c>
      <c r="D569" s="1">
        <v>9.4860798368851307E-2</v>
      </c>
      <c r="E569" s="1">
        <v>192</v>
      </c>
      <c r="F569" s="1">
        <v>20</v>
      </c>
      <c r="G569" s="1">
        <v>28.931319444444402</v>
      </c>
      <c r="H569" s="1">
        <v>0.104166666666667</v>
      </c>
      <c r="I569" s="1">
        <v>2.6041666666666699E-2</v>
      </c>
      <c r="J569" s="1">
        <v>5</v>
      </c>
      <c r="K569" s="1">
        <v>2014</v>
      </c>
      <c r="L569" s="1"/>
      <c r="M569" s="1">
        <v>0.104166666666667</v>
      </c>
      <c r="N569" s="1">
        <v>0.104166666666667</v>
      </c>
      <c r="O569" s="1">
        <f>(N569-N568)/N568</f>
        <v>19.000000000000078</v>
      </c>
      <c r="P569" s="2">
        <v>41760</v>
      </c>
      <c r="Q569" s="1">
        <v>16</v>
      </c>
      <c r="R569" s="1"/>
    </row>
    <row r="570" spans="1:18" x14ac:dyDescent="0.2">
      <c r="A570" s="3">
        <v>569</v>
      </c>
      <c r="B570" s="2">
        <v>41768</v>
      </c>
      <c r="C570" s="1">
        <v>9.4407529020920797E-2</v>
      </c>
      <c r="D570" s="1">
        <v>9.4528989245494202E-2</v>
      </c>
      <c r="E570" s="1">
        <v>192</v>
      </c>
      <c r="F570" s="1">
        <v>5</v>
      </c>
      <c r="G570" s="1">
        <v>29.011892361111101</v>
      </c>
      <c r="H570" s="1">
        <v>2.6041666666666699E-2</v>
      </c>
      <c r="I570" s="1">
        <v>0</v>
      </c>
      <c r="J570" s="1">
        <v>5</v>
      </c>
      <c r="K570" s="1">
        <v>2014</v>
      </c>
      <c r="L570" s="1"/>
      <c r="M570" s="1">
        <v>2.6041666666666699E-2</v>
      </c>
      <c r="N570" s="1">
        <v>2.6041666666666699E-2</v>
      </c>
      <c r="O570" s="1">
        <f>(N570-N569)/N569</f>
        <v>-0.75000000000000044</v>
      </c>
      <c r="P570" s="2">
        <v>41768</v>
      </c>
      <c r="Q570" s="1">
        <v>17</v>
      </c>
      <c r="R570" s="1"/>
    </row>
    <row r="571" spans="1:18" x14ac:dyDescent="0.2">
      <c r="A571" s="3">
        <v>570</v>
      </c>
      <c r="B571" s="2">
        <v>41776</v>
      </c>
      <c r="C571" s="1">
        <v>0.10989674276149899</v>
      </c>
      <c r="D571" s="1">
        <v>0.117821832497915</v>
      </c>
      <c r="E571" s="1">
        <v>192</v>
      </c>
      <c r="F571" s="1">
        <v>0</v>
      </c>
      <c r="G571" s="1">
        <v>28.873611111111099</v>
      </c>
      <c r="H571" s="1">
        <v>0</v>
      </c>
      <c r="I571" s="1">
        <v>0</v>
      </c>
      <c r="J571" s="1">
        <v>5</v>
      </c>
      <c r="K571" s="1">
        <v>2014</v>
      </c>
      <c r="L571" s="1"/>
      <c r="M571" s="1">
        <v>1E-3</v>
      </c>
      <c r="N571" s="1">
        <v>1E-3</v>
      </c>
      <c r="O571" s="1">
        <f>(N571-N570)/N570</f>
        <v>-0.96160000000000001</v>
      </c>
      <c r="P571" s="2">
        <v>41776</v>
      </c>
      <c r="Q571" s="1">
        <v>18</v>
      </c>
      <c r="R571" s="1"/>
    </row>
    <row r="572" spans="1:18" x14ac:dyDescent="0.2">
      <c r="A572" s="3">
        <v>571</v>
      </c>
      <c r="B572" s="2">
        <v>41784</v>
      </c>
      <c r="C572" s="1">
        <v>0.10652833626974299</v>
      </c>
      <c r="D572" s="1">
        <v>9.6690592666466998E-2</v>
      </c>
      <c r="E572" s="1">
        <v>192</v>
      </c>
      <c r="F572" s="1">
        <v>0</v>
      </c>
      <c r="G572" s="1">
        <v>28.371631944444399</v>
      </c>
      <c r="H572" s="1">
        <v>0</v>
      </c>
      <c r="I572" s="1">
        <v>5.2219321148825101E-3</v>
      </c>
      <c r="J572" s="1">
        <v>5</v>
      </c>
      <c r="K572" s="1">
        <v>2014</v>
      </c>
      <c r="L572" s="1"/>
      <c r="M572" s="1">
        <v>1E-3</v>
      </c>
      <c r="N572" s="1">
        <v>1E-3</v>
      </c>
      <c r="O572" s="1">
        <f>(N572-N571)/N571</f>
        <v>0</v>
      </c>
      <c r="P572" s="2">
        <v>41784</v>
      </c>
      <c r="Q572" s="1">
        <v>19</v>
      </c>
      <c r="R572" s="1"/>
    </row>
    <row r="573" spans="1:18" x14ac:dyDescent="0.2">
      <c r="A573" s="3">
        <v>572</v>
      </c>
      <c r="B573" s="2">
        <v>41792</v>
      </c>
      <c r="C573" s="1">
        <v>0.120280242254657</v>
      </c>
      <c r="D573" s="1">
        <v>0.104223115990559</v>
      </c>
      <c r="E573" s="1">
        <v>191.5</v>
      </c>
      <c r="F573" s="1">
        <v>1</v>
      </c>
      <c r="G573" s="1">
        <v>27.741145833333299</v>
      </c>
      <c r="H573" s="1">
        <v>5.2219321148825101E-3</v>
      </c>
      <c r="I573" s="1">
        <v>0.83744100681698996</v>
      </c>
      <c r="J573" s="1">
        <v>6</v>
      </c>
      <c r="K573" s="1">
        <v>2014</v>
      </c>
      <c r="L573" s="1"/>
      <c r="M573" s="1">
        <v>5.2219321148825101E-3</v>
      </c>
      <c r="N573" s="1">
        <v>5.2219321148825101E-3</v>
      </c>
      <c r="O573" s="1">
        <f>(N573-N572)/N572</f>
        <v>4.2219321148825095</v>
      </c>
      <c r="P573" s="2">
        <v>41792</v>
      </c>
      <c r="Q573" s="1">
        <v>20</v>
      </c>
      <c r="R573" s="1"/>
    </row>
    <row r="574" spans="1:18" x14ac:dyDescent="0.2">
      <c r="A574" s="3">
        <v>573</v>
      </c>
      <c r="B574" s="2">
        <v>41800</v>
      </c>
      <c r="C574" s="1">
        <v>0.14469920895820401</v>
      </c>
      <c r="D574" s="1" t="s">
        <v>0</v>
      </c>
      <c r="E574" s="1">
        <v>190.7</v>
      </c>
      <c r="F574" s="1">
        <v>159.69999999999999</v>
      </c>
      <c r="G574" s="1">
        <v>27.531736111111101</v>
      </c>
      <c r="H574" s="1">
        <v>0.83744100681698996</v>
      </c>
      <c r="I574" s="1">
        <v>0.45430809399477801</v>
      </c>
      <c r="J574" s="1">
        <v>6</v>
      </c>
      <c r="K574" s="1">
        <v>2014</v>
      </c>
      <c r="L574" s="1"/>
      <c r="M574" s="1">
        <v>0.83744100681698996</v>
      </c>
      <c r="N574" s="1">
        <v>0.83744100681698996</v>
      </c>
      <c r="O574" s="1">
        <f>(N574-N573)/N573</f>
        <v>159.36995280545347</v>
      </c>
      <c r="P574" s="2">
        <v>41800</v>
      </c>
      <c r="Q574" s="1">
        <v>21</v>
      </c>
      <c r="R574" s="1"/>
    </row>
    <row r="575" spans="1:18" x14ac:dyDescent="0.2">
      <c r="A575" s="3">
        <v>574</v>
      </c>
      <c r="B575" s="2">
        <v>41808</v>
      </c>
      <c r="C575" s="1">
        <v>0.14559591376508799</v>
      </c>
      <c r="D575" s="1">
        <v>0.14296067009369501</v>
      </c>
      <c r="E575" s="1">
        <v>191.5</v>
      </c>
      <c r="F575" s="1">
        <v>87</v>
      </c>
      <c r="G575" s="1">
        <v>27.400659722222201</v>
      </c>
      <c r="H575" s="1">
        <v>0.45430809399477801</v>
      </c>
      <c r="I575" s="1">
        <v>6.7814293166405804E-2</v>
      </c>
      <c r="J575" s="1">
        <v>6</v>
      </c>
      <c r="K575" s="1">
        <v>2014</v>
      </c>
      <c r="L575" s="1"/>
      <c r="M575" s="1">
        <v>0.45430809399477801</v>
      </c>
      <c r="N575" s="1">
        <v>0.45430809399477801</v>
      </c>
      <c r="O575" s="1">
        <f>(N575-N574)/N574</f>
        <v>-0.45750436114712478</v>
      </c>
      <c r="P575" s="2">
        <v>41808</v>
      </c>
      <c r="Q575" s="1">
        <v>22</v>
      </c>
      <c r="R575" s="1"/>
    </row>
    <row r="576" spans="1:18" x14ac:dyDescent="0.2">
      <c r="A576" s="3">
        <v>575</v>
      </c>
      <c r="B576" s="2">
        <v>41816</v>
      </c>
      <c r="C576" s="1">
        <v>0.154671280884317</v>
      </c>
      <c r="D576" s="1">
        <v>0.146117990215619</v>
      </c>
      <c r="E576" s="1">
        <v>191.7</v>
      </c>
      <c r="F576" s="1">
        <v>13</v>
      </c>
      <c r="G576" s="1">
        <v>27.050364583333302</v>
      </c>
      <c r="H576" s="1">
        <v>6.7814293166405804E-2</v>
      </c>
      <c r="I576" s="1">
        <v>3.125E-2</v>
      </c>
      <c r="J576" s="1">
        <v>6</v>
      </c>
      <c r="K576" s="1">
        <v>2014</v>
      </c>
      <c r="L576" s="1"/>
      <c r="M576" s="1">
        <v>6.7814293166405804E-2</v>
      </c>
      <c r="N576" s="1">
        <v>6.7814293166405804E-2</v>
      </c>
      <c r="O576" s="1">
        <f>(N576-N575)/N575</f>
        <v>-0.85073060757049757</v>
      </c>
      <c r="P576" s="2">
        <v>41816</v>
      </c>
      <c r="Q576" s="1">
        <v>23</v>
      </c>
      <c r="R576" s="1"/>
    </row>
    <row r="577" spans="1:18" x14ac:dyDescent="0.2">
      <c r="A577" s="3">
        <v>576</v>
      </c>
      <c r="B577" s="2">
        <v>41824</v>
      </c>
      <c r="C577" s="1">
        <v>0.143392406454703</v>
      </c>
      <c r="D577" s="1">
        <v>0.14150322973728199</v>
      </c>
      <c r="E577" s="1">
        <v>192</v>
      </c>
      <c r="F577" s="1">
        <v>6</v>
      </c>
      <c r="G577" s="1">
        <v>26.8710069444444</v>
      </c>
      <c r="H577" s="1">
        <v>3.125E-2</v>
      </c>
      <c r="I577" s="1">
        <v>0.125</v>
      </c>
      <c r="J577" s="1">
        <v>7</v>
      </c>
      <c r="K577" s="1">
        <v>2014</v>
      </c>
      <c r="L577" s="1"/>
      <c r="M577" s="1">
        <v>3.125E-2</v>
      </c>
      <c r="N577" s="1">
        <v>3.125E-2</v>
      </c>
      <c r="O577" s="1">
        <f>(N577-N576)/N576</f>
        <v>-0.539182692307692</v>
      </c>
      <c r="P577" s="2">
        <v>41824</v>
      </c>
      <c r="Q577" s="1">
        <v>24</v>
      </c>
      <c r="R577" s="1"/>
    </row>
    <row r="578" spans="1:18" x14ac:dyDescent="0.2">
      <c r="A578" s="3">
        <v>577</v>
      </c>
      <c r="B578" s="2">
        <v>41832</v>
      </c>
      <c r="C578" s="1">
        <v>0.12877241560038499</v>
      </c>
      <c r="D578" s="1">
        <v>0.13521306961774801</v>
      </c>
      <c r="E578" s="1">
        <v>192</v>
      </c>
      <c r="F578" s="1">
        <v>24</v>
      </c>
      <c r="G578" s="1">
        <v>26.604062500000001</v>
      </c>
      <c r="H578" s="1">
        <v>0.125</v>
      </c>
      <c r="I578" s="1">
        <v>0.109375</v>
      </c>
      <c r="J578" s="1">
        <v>7</v>
      </c>
      <c r="K578" s="1">
        <v>2014</v>
      </c>
      <c r="L578" s="1"/>
      <c r="M578" s="1">
        <v>0.125</v>
      </c>
      <c r="N578" s="1">
        <v>0.125</v>
      </c>
      <c r="O578" s="1">
        <f>(N578-N577)/N577</f>
        <v>3</v>
      </c>
      <c r="P578" s="2">
        <v>41832</v>
      </c>
      <c r="Q578" s="1">
        <v>25</v>
      </c>
      <c r="R578" s="1"/>
    </row>
    <row r="579" spans="1:18" x14ac:dyDescent="0.2">
      <c r="A579" s="3">
        <v>578</v>
      </c>
      <c r="B579" s="2">
        <v>41840</v>
      </c>
      <c r="C579" s="1">
        <v>0.18892332449765301</v>
      </c>
      <c r="D579" s="1">
        <v>0.19208916525045999</v>
      </c>
      <c r="E579" s="1">
        <v>192</v>
      </c>
      <c r="F579" s="1">
        <v>21</v>
      </c>
      <c r="G579" s="1">
        <v>26.309600694444399</v>
      </c>
      <c r="H579" s="1">
        <v>0.109375</v>
      </c>
      <c r="I579" s="1">
        <v>0.71354166666666696</v>
      </c>
      <c r="J579" s="1">
        <v>7</v>
      </c>
      <c r="K579" s="1">
        <v>2014</v>
      </c>
      <c r="L579" s="1"/>
      <c r="M579" s="1">
        <v>0.109375</v>
      </c>
      <c r="N579" s="1">
        <v>0.109375</v>
      </c>
      <c r="O579" s="1">
        <f>(N579-N578)/N578</f>
        <v>-0.125</v>
      </c>
      <c r="P579" s="2">
        <v>41840</v>
      </c>
      <c r="Q579" s="1">
        <v>26</v>
      </c>
      <c r="R579" s="1"/>
    </row>
    <row r="580" spans="1:18" x14ac:dyDescent="0.2">
      <c r="A580" s="3">
        <v>579</v>
      </c>
      <c r="B580" s="5">
        <v>41848</v>
      </c>
      <c r="C580" s="1">
        <v>0.15377882619698799</v>
      </c>
      <c r="D580" s="1" t="s">
        <v>0</v>
      </c>
      <c r="E580" s="1">
        <v>192</v>
      </c>
      <c r="F580" s="1">
        <v>137</v>
      </c>
      <c r="G580" s="1">
        <v>25.976736111111101</v>
      </c>
      <c r="H580" s="1">
        <v>0.71354166666666696</v>
      </c>
      <c r="I580" s="1">
        <v>0.94791666666666696</v>
      </c>
      <c r="J580" s="1">
        <v>7</v>
      </c>
      <c r="K580" s="1">
        <v>2014</v>
      </c>
      <c r="L580" s="1">
        <v>0.71354166666666696</v>
      </c>
      <c r="N580" s="1">
        <v>0.71354166666666696</v>
      </c>
      <c r="O580" s="4">
        <f>(N580-N579)/N579</f>
        <v>5.5238095238095264</v>
      </c>
      <c r="P580" s="5">
        <v>41848</v>
      </c>
      <c r="Q580" s="4">
        <v>27</v>
      </c>
      <c r="R580" s="1"/>
    </row>
    <row r="581" spans="1:18" x14ac:dyDescent="0.2">
      <c r="A581" s="3">
        <v>580</v>
      </c>
      <c r="B581" s="2">
        <v>41856</v>
      </c>
      <c r="C581" s="1">
        <v>0.18102223393709799</v>
      </c>
      <c r="D581" s="1">
        <v>0.18348515033721899</v>
      </c>
      <c r="E581" s="1">
        <v>192</v>
      </c>
      <c r="F581" s="1">
        <v>182</v>
      </c>
      <c r="G581" s="1">
        <v>26.112656250000001</v>
      </c>
      <c r="H581" s="1">
        <v>0.94791666666666696</v>
      </c>
      <c r="I581" s="1">
        <v>0.99479166666666696</v>
      </c>
      <c r="J581" s="1">
        <v>8</v>
      </c>
      <c r="K581" s="1">
        <v>2014</v>
      </c>
      <c r="L581" s="1">
        <v>0.94791666666666696</v>
      </c>
      <c r="N581" s="1">
        <v>0.94791666666666696</v>
      </c>
      <c r="O581" s="1">
        <f>(N581-N580)/N580</f>
        <v>0.32846715328467141</v>
      </c>
      <c r="P581" s="2">
        <v>41856</v>
      </c>
      <c r="Q581" s="1">
        <v>28</v>
      </c>
      <c r="R581" s="1"/>
    </row>
    <row r="582" spans="1:18" x14ac:dyDescent="0.2">
      <c r="A582" s="3">
        <v>581</v>
      </c>
      <c r="B582" s="2">
        <v>41864</v>
      </c>
      <c r="C582" s="1">
        <v>0.15547571827967999</v>
      </c>
      <c r="D582" s="1" t="s">
        <v>0</v>
      </c>
      <c r="E582" s="1">
        <v>192</v>
      </c>
      <c r="F582" s="1">
        <v>191</v>
      </c>
      <c r="G582" s="1">
        <v>25.754114583333301</v>
      </c>
      <c r="H582" s="1">
        <v>0.99479166666666696</v>
      </c>
      <c r="I582" s="1">
        <v>1</v>
      </c>
      <c r="J582" s="1">
        <v>8</v>
      </c>
      <c r="K582" s="1">
        <v>2014</v>
      </c>
      <c r="L582" s="1">
        <v>0.99479166666666696</v>
      </c>
      <c r="N582" s="1">
        <v>0.99479166666666696</v>
      </c>
      <c r="O582" s="1">
        <f>(N582-N581)/N581</f>
        <v>4.9450549450549434E-2</v>
      </c>
      <c r="P582" s="2">
        <v>41864</v>
      </c>
      <c r="Q582" s="1">
        <v>29</v>
      </c>
      <c r="R582" s="1"/>
    </row>
    <row r="583" spans="1:18" x14ac:dyDescent="0.2">
      <c r="A583" s="3">
        <v>582</v>
      </c>
      <c r="B583" s="2">
        <v>41872</v>
      </c>
      <c r="C583" s="1">
        <v>0.18038502782583199</v>
      </c>
      <c r="D583" s="1" t="s">
        <v>0</v>
      </c>
      <c r="E583" s="1">
        <v>192</v>
      </c>
      <c r="F583" s="1">
        <v>192</v>
      </c>
      <c r="G583" s="1">
        <v>26.158750000000001</v>
      </c>
      <c r="H583" s="1">
        <v>1</v>
      </c>
      <c r="I583" s="1">
        <v>0.98958333333333304</v>
      </c>
      <c r="J583" s="1">
        <v>8</v>
      </c>
      <c r="K583" s="1">
        <v>2014</v>
      </c>
      <c r="L583" s="1">
        <v>1</v>
      </c>
      <c r="N583" s="1">
        <v>1</v>
      </c>
      <c r="O583" s="1">
        <f>(N583-N582)/N582</f>
        <v>5.2356020942405388E-3</v>
      </c>
      <c r="P583" s="2">
        <v>41872</v>
      </c>
      <c r="Q583" s="1">
        <v>30</v>
      </c>
      <c r="R583" s="1"/>
    </row>
    <row r="584" spans="1:18" x14ac:dyDescent="0.2">
      <c r="A584" s="3">
        <v>583</v>
      </c>
      <c r="B584" s="5">
        <v>41880</v>
      </c>
      <c r="C584" s="1">
        <v>0.17569851735907199</v>
      </c>
      <c r="D584" s="1">
        <v>0.185791671276093</v>
      </c>
      <c r="E584" s="1">
        <v>192</v>
      </c>
      <c r="F584" s="1">
        <v>190</v>
      </c>
      <c r="G584" s="1">
        <v>26.6297743055556</v>
      </c>
      <c r="H584" s="1">
        <v>0.98958333333333304</v>
      </c>
      <c r="I584" s="1">
        <v>0.34946236559139798</v>
      </c>
      <c r="J584" s="1">
        <v>8</v>
      </c>
      <c r="K584" s="1">
        <v>2014</v>
      </c>
      <c r="L584" s="1">
        <v>0.98958333333333304</v>
      </c>
      <c r="N584" s="1">
        <v>0.98958333333333304</v>
      </c>
      <c r="O584" s="1">
        <f>(N584-N583)/N583</f>
        <v>-1.0416666666666963E-2</v>
      </c>
      <c r="P584" s="5">
        <v>41880</v>
      </c>
      <c r="Q584" s="4">
        <v>31</v>
      </c>
      <c r="R584" s="1"/>
    </row>
    <row r="585" spans="1:18" x14ac:dyDescent="0.2">
      <c r="A585" s="3">
        <v>584</v>
      </c>
      <c r="B585" s="2">
        <v>41888</v>
      </c>
      <c r="C585" s="1">
        <v>0.17386495620012299</v>
      </c>
      <c r="D585" s="1">
        <v>0.203291284541289</v>
      </c>
      <c r="E585" s="1">
        <v>186</v>
      </c>
      <c r="F585" s="1">
        <v>65</v>
      </c>
      <c r="G585" s="1">
        <v>26.725833333333298</v>
      </c>
      <c r="H585" s="1">
        <v>0.34946236559139798</v>
      </c>
      <c r="I585" s="1">
        <v>0.640625</v>
      </c>
      <c r="J585" s="1">
        <v>9</v>
      </c>
      <c r="K585" s="1">
        <v>2014</v>
      </c>
      <c r="L585" s="1"/>
      <c r="M585" s="1">
        <v>0.34946236559139798</v>
      </c>
      <c r="N585" s="1">
        <v>0.34946236559139798</v>
      </c>
      <c r="O585" s="4">
        <f>(N585-N584)/N584</f>
        <v>-0.64685908319185037</v>
      </c>
      <c r="P585" s="2">
        <v>41888</v>
      </c>
      <c r="Q585" s="1">
        <v>32</v>
      </c>
      <c r="R585" s="1"/>
    </row>
    <row r="586" spans="1:18" x14ac:dyDescent="0.2">
      <c r="A586" s="3">
        <v>585</v>
      </c>
      <c r="B586" s="5">
        <v>41896</v>
      </c>
      <c r="C586" s="1">
        <v>0.170799930134545</v>
      </c>
      <c r="D586" s="1">
        <v>0.21338181942701301</v>
      </c>
      <c r="E586" s="1">
        <v>192</v>
      </c>
      <c r="F586" s="1">
        <v>123</v>
      </c>
      <c r="G586" s="1">
        <v>26.8375173611111</v>
      </c>
      <c r="H586" s="1">
        <v>0.640625</v>
      </c>
      <c r="I586" s="1">
        <v>0.80729166666666696</v>
      </c>
      <c r="J586" s="1">
        <v>9</v>
      </c>
      <c r="K586" s="1">
        <v>2014</v>
      </c>
      <c r="L586" s="1">
        <v>0.640625</v>
      </c>
      <c r="N586" s="1">
        <v>0.640625</v>
      </c>
      <c r="O586" s="4">
        <f>(N586-N585)/N585</f>
        <v>0.83317307692307618</v>
      </c>
      <c r="P586" s="5">
        <v>41896</v>
      </c>
      <c r="Q586" s="4">
        <v>33</v>
      </c>
      <c r="R586" s="1"/>
    </row>
    <row r="587" spans="1:18" x14ac:dyDescent="0.2">
      <c r="A587" s="3">
        <v>586</v>
      </c>
      <c r="B587" s="2">
        <v>41904</v>
      </c>
      <c r="C587" s="1">
        <v>0.182442600211353</v>
      </c>
      <c r="D587" s="1">
        <v>0.19048988074064299</v>
      </c>
      <c r="E587" s="1">
        <v>192</v>
      </c>
      <c r="F587" s="1">
        <v>155</v>
      </c>
      <c r="G587" s="1">
        <v>26.6856423611111</v>
      </c>
      <c r="H587" s="1">
        <v>0.80729166666666696</v>
      </c>
      <c r="I587" s="1">
        <v>0.92708333333333304</v>
      </c>
      <c r="J587" s="1">
        <v>9</v>
      </c>
      <c r="K587" s="1">
        <v>2014</v>
      </c>
      <c r="L587" s="1">
        <v>0.80729166666666696</v>
      </c>
      <c r="N587" s="1">
        <v>0.80729166666666696</v>
      </c>
      <c r="O587" s="1">
        <f>(N587-N586)/N586</f>
        <v>0.26016260162601673</v>
      </c>
      <c r="P587" s="2">
        <v>41904</v>
      </c>
      <c r="Q587" s="1">
        <v>34</v>
      </c>
      <c r="R587" s="1"/>
    </row>
    <row r="588" spans="1:18" x14ac:dyDescent="0.2">
      <c r="A588" s="3">
        <v>587</v>
      </c>
      <c r="B588" s="2">
        <v>41912</v>
      </c>
      <c r="C588" s="1">
        <v>0.157754559329776</v>
      </c>
      <c r="D588" s="1">
        <v>0.16031274199485801</v>
      </c>
      <c r="E588" s="1">
        <v>192</v>
      </c>
      <c r="F588" s="1">
        <v>178</v>
      </c>
      <c r="G588" s="1">
        <v>26.887899305555599</v>
      </c>
      <c r="H588" s="1">
        <v>0.92708333333333304</v>
      </c>
      <c r="I588" s="1">
        <v>0.90625</v>
      </c>
      <c r="J588" s="1">
        <v>9</v>
      </c>
      <c r="K588" s="1">
        <v>2014</v>
      </c>
      <c r="L588" s="1">
        <v>0.92708333333333304</v>
      </c>
      <c r="N588" s="1">
        <v>0.92708333333333304</v>
      </c>
      <c r="O588" s="1">
        <f>(N588-N587)/N587</f>
        <v>0.14838709677419276</v>
      </c>
      <c r="P588" s="2">
        <v>41912</v>
      </c>
      <c r="Q588" s="1">
        <v>35</v>
      </c>
      <c r="R588" s="1"/>
    </row>
    <row r="589" spans="1:18" x14ac:dyDescent="0.2">
      <c r="A589" s="3">
        <v>588</v>
      </c>
      <c r="B589" s="2">
        <v>41920</v>
      </c>
      <c r="C589" s="1">
        <v>0.16469219633352</v>
      </c>
      <c r="D589" s="1">
        <v>0.15114206373691599</v>
      </c>
      <c r="E589" s="1">
        <v>192</v>
      </c>
      <c r="F589" s="1">
        <v>174</v>
      </c>
      <c r="G589" s="1">
        <v>27.085086805555601</v>
      </c>
      <c r="H589" s="1">
        <v>0.90625</v>
      </c>
      <c r="I589" s="1">
        <v>0.921875</v>
      </c>
      <c r="J589" s="1">
        <v>10</v>
      </c>
      <c r="K589" s="1">
        <v>2014</v>
      </c>
      <c r="L589" s="1">
        <v>0.90625</v>
      </c>
      <c r="N589" s="1">
        <v>0.90625</v>
      </c>
      <c r="O589" s="1">
        <f>(N589-N588)/N588</f>
        <v>-2.2471910112359238E-2</v>
      </c>
      <c r="P589" s="2">
        <v>41920</v>
      </c>
      <c r="Q589" s="1">
        <v>36</v>
      </c>
      <c r="R589" s="1"/>
    </row>
    <row r="590" spans="1:18" x14ac:dyDescent="0.2">
      <c r="A590" s="3">
        <v>589</v>
      </c>
      <c r="B590" s="2">
        <v>41928</v>
      </c>
      <c r="C590" s="1">
        <v>0.17710015047341601</v>
      </c>
      <c r="D590" s="1">
        <v>0.17250063270330401</v>
      </c>
      <c r="E590" s="1">
        <v>192</v>
      </c>
      <c r="F590" s="1">
        <v>177</v>
      </c>
      <c r="G590" s="1">
        <v>27.633489583333301</v>
      </c>
      <c r="H590" s="1">
        <v>0.921875</v>
      </c>
      <c r="I590" s="1">
        <v>0.828125</v>
      </c>
      <c r="J590" s="1">
        <v>10</v>
      </c>
      <c r="K590" s="1">
        <v>2014</v>
      </c>
      <c r="L590" s="1">
        <v>0.921875</v>
      </c>
      <c r="N590" s="1">
        <v>0.921875</v>
      </c>
      <c r="O590" s="1">
        <f>(N590-N589)/N589</f>
        <v>1.7241379310344827E-2</v>
      </c>
      <c r="P590" s="2">
        <v>41928</v>
      </c>
      <c r="Q590" s="1">
        <v>37</v>
      </c>
      <c r="R590" s="1"/>
    </row>
    <row r="591" spans="1:18" x14ac:dyDescent="0.2">
      <c r="A591" s="3">
        <v>590</v>
      </c>
      <c r="B591" s="2">
        <v>41936</v>
      </c>
      <c r="C591" s="1">
        <v>0.15365084959768999</v>
      </c>
      <c r="D591" s="1">
        <v>0.165061148504416</v>
      </c>
      <c r="E591" s="1">
        <v>192</v>
      </c>
      <c r="F591" s="1">
        <v>159</v>
      </c>
      <c r="G591" s="1">
        <v>28.721458333333299</v>
      </c>
      <c r="H591" s="1">
        <v>0.828125</v>
      </c>
      <c r="I591" s="1">
        <v>0.97395833333333304</v>
      </c>
      <c r="J591" s="1">
        <v>10</v>
      </c>
      <c r="K591" s="1">
        <v>2014</v>
      </c>
      <c r="L591" s="1">
        <v>0.828125</v>
      </c>
      <c r="N591" s="1">
        <v>0.828125</v>
      </c>
      <c r="O591" s="1">
        <f>(N591-N590)/N590</f>
        <v>-0.10169491525423729</v>
      </c>
      <c r="P591" s="2">
        <v>41936</v>
      </c>
      <c r="Q591" s="1">
        <v>38</v>
      </c>
      <c r="R591" s="1"/>
    </row>
    <row r="592" spans="1:18" x14ac:dyDescent="0.2">
      <c r="A592" s="3">
        <v>591</v>
      </c>
      <c r="B592" s="2">
        <v>41944</v>
      </c>
      <c r="C592" s="1">
        <v>0.11298091975706</v>
      </c>
      <c r="D592" s="1" t="s">
        <v>0</v>
      </c>
      <c r="E592" s="1">
        <v>192</v>
      </c>
      <c r="F592" s="1">
        <v>187</v>
      </c>
      <c r="G592" s="1">
        <v>28.923263888888901</v>
      </c>
      <c r="H592" s="1">
        <v>0.97395833333333304</v>
      </c>
      <c r="I592" s="1">
        <v>0.984375</v>
      </c>
      <c r="J592" s="1">
        <v>11</v>
      </c>
      <c r="K592" s="1">
        <v>2014</v>
      </c>
      <c r="L592" s="1">
        <v>0.97395833333333304</v>
      </c>
      <c r="N592" s="1">
        <v>0.97395833333333304</v>
      </c>
      <c r="O592" s="1">
        <f>(N592-N591)/N591</f>
        <v>0.17610062893081727</v>
      </c>
      <c r="P592" s="2">
        <v>41944</v>
      </c>
      <c r="Q592" s="1">
        <v>39</v>
      </c>
      <c r="R592" s="1"/>
    </row>
    <row r="593" spans="1:18" x14ac:dyDescent="0.2">
      <c r="A593" s="3">
        <v>592</v>
      </c>
      <c r="B593" s="2">
        <v>41952</v>
      </c>
      <c r="C593" s="1">
        <v>0.10464997202158</v>
      </c>
      <c r="D593" s="1">
        <v>0.100352272391319</v>
      </c>
      <c r="E593" s="1">
        <v>192</v>
      </c>
      <c r="F593" s="1">
        <v>189</v>
      </c>
      <c r="G593" s="1">
        <v>28.7023784722222</v>
      </c>
      <c r="H593" s="1">
        <v>0.984375</v>
      </c>
      <c r="I593" s="1">
        <v>0.97916666666666696</v>
      </c>
      <c r="J593" s="1">
        <v>11</v>
      </c>
      <c r="K593" s="1">
        <v>2014</v>
      </c>
      <c r="L593" s="1">
        <v>0.984375</v>
      </c>
      <c r="N593" s="1">
        <v>0.984375</v>
      </c>
      <c r="O593" s="1">
        <f>(N593-N592)/N592</f>
        <v>1.0695187165775707E-2</v>
      </c>
      <c r="P593" s="2">
        <v>41952</v>
      </c>
      <c r="Q593" s="1">
        <v>40</v>
      </c>
      <c r="R593" s="1"/>
    </row>
    <row r="594" spans="1:18" x14ac:dyDescent="0.2">
      <c r="A594" s="3">
        <v>593</v>
      </c>
      <c r="B594" s="2">
        <v>41960</v>
      </c>
      <c r="C594" s="1">
        <v>0.13676628257547099</v>
      </c>
      <c r="D594" s="1" t="s">
        <v>0</v>
      </c>
      <c r="E594" s="1">
        <v>192</v>
      </c>
      <c r="F594" s="1">
        <v>188</v>
      </c>
      <c r="G594" s="1">
        <v>28.584600694444401</v>
      </c>
      <c r="H594" s="1">
        <v>0.97916666666666696</v>
      </c>
      <c r="I594" s="1">
        <v>0.83333333333333304</v>
      </c>
      <c r="J594" s="1">
        <v>11</v>
      </c>
      <c r="K594" s="1">
        <v>2014</v>
      </c>
      <c r="L594" s="1">
        <v>0.97916666666666696</v>
      </c>
      <c r="N594" s="1">
        <v>0.97916666666666696</v>
      </c>
      <c r="O594" s="1">
        <f>(N594-N593)/N593</f>
        <v>-5.2910052910049906E-3</v>
      </c>
      <c r="P594" s="2">
        <v>41960</v>
      </c>
      <c r="Q594" s="1">
        <v>41</v>
      </c>
      <c r="R594" s="1"/>
    </row>
    <row r="595" spans="1:18" x14ac:dyDescent="0.2">
      <c r="A595" s="3">
        <v>594</v>
      </c>
      <c r="B595" s="2">
        <v>41968</v>
      </c>
      <c r="C595" s="1">
        <v>0.114082687208808</v>
      </c>
      <c r="D595" s="1">
        <v>0.114852977295717</v>
      </c>
      <c r="E595" s="1">
        <v>192</v>
      </c>
      <c r="F595" s="1">
        <v>160</v>
      </c>
      <c r="G595" s="1">
        <v>29.101076388888899</v>
      </c>
      <c r="H595" s="1">
        <v>0.83333333333333304</v>
      </c>
      <c r="I595" s="1">
        <v>0.72395833333333304</v>
      </c>
      <c r="J595" s="1">
        <v>11</v>
      </c>
      <c r="K595" s="1">
        <v>2014</v>
      </c>
      <c r="L595" s="1">
        <v>0.83333333333333304</v>
      </c>
      <c r="N595" s="1">
        <v>0.83333333333333304</v>
      </c>
      <c r="O595" s="1">
        <f>(N595-N594)/N594</f>
        <v>-0.14893617021276651</v>
      </c>
      <c r="P595" s="2">
        <v>41968</v>
      </c>
      <c r="Q595" s="1">
        <v>42</v>
      </c>
      <c r="R595" s="1"/>
    </row>
    <row r="596" spans="1:18" x14ac:dyDescent="0.2">
      <c r="A596" s="3">
        <v>595</v>
      </c>
      <c r="B596" s="2">
        <v>41976</v>
      </c>
      <c r="C596" s="1">
        <v>9.0122510364816194E-2</v>
      </c>
      <c r="D596" s="1">
        <v>8.9923618982235595E-2</v>
      </c>
      <c r="E596" s="1">
        <v>192</v>
      </c>
      <c r="F596" s="1">
        <v>139</v>
      </c>
      <c r="G596" s="1">
        <v>29.297135416666698</v>
      </c>
      <c r="H596" s="1">
        <v>0.72395833333333304</v>
      </c>
      <c r="I596" s="1">
        <v>0.49066666666666697</v>
      </c>
      <c r="J596" s="1">
        <v>12</v>
      </c>
      <c r="K596" s="1">
        <v>2014</v>
      </c>
      <c r="L596" s="1">
        <v>0.72395833333333304</v>
      </c>
      <c r="N596" s="1">
        <v>0.72395833333333304</v>
      </c>
      <c r="O596" s="1">
        <f>(N596-N595)/N595</f>
        <v>-0.13125000000000003</v>
      </c>
      <c r="P596" s="2">
        <v>41976</v>
      </c>
      <c r="Q596" s="1">
        <v>43</v>
      </c>
      <c r="R596" s="1"/>
    </row>
    <row r="597" spans="1:18" x14ac:dyDescent="0.2">
      <c r="A597" s="3">
        <v>596</v>
      </c>
      <c r="B597" s="2">
        <v>41984</v>
      </c>
      <c r="C597" s="1">
        <v>9.0785214141623605E-2</v>
      </c>
      <c r="D597" s="1" t="s">
        <v>0</v>
      </c>
      <c r="E597" s="1">
        <v>187.5</v>
      </c>
      <c r="F597" s="1">
        <v>92</v>
      </c>
      <c r="G597" s="1">
        <v>29.244618055555598</v>
      </c>
      <c r="H597" s="1">
        <v>0.49066666666666697</v>
      </c>
      <c r="I597" s="1">
        <v>0.35416666666666702</v>
      </c>
      <c r="J597" s="1">
        <v>12</v>
      </c>
      <c r="K597" s="1">
        <v>2014</v>
      </c>
      <c r="L597" s="1">
        <v>0.49066666666666697</v>
      </c>
      <c r="N597" s="1">
        <v>0.49066666666666697</v>
      </c>
      <c r="O597" s="1">
        <f>(N597-N596)/N596</f>
        <v>-0.32224460431654606</v>
      </c>
      <c r="P597" s="2">
        <v>41984</v>
      </c>
      <c r="Q597" s="1">
        <v>44</v>
      </c>
      <c r="R597" s="1"/>
    </row>
    <row r="598" spans="1:18" x14ac:dyDescent="0.2">
      <c r="A598" s="3">
        <v>597</v>
      </c>
      <c r="B598" s="5">
        <v>41992</v>
      </c>
      <c r="C598" s="1">
        <v>0.131087289906518</v>
      </c>
      <c r="D598" s="1">
        <v>0.12940052151680001</v>
      </c>
      <c r="E598" s="1">
        <v>192</v>
      </c>
      <c r="F598" s="1">
        <v>68</v>
      </c>
      <c r="G598" s="1">
        <v>29.2594270833333</v>
      </c>
      <c r="H598" s="1">
        <v>0.35416666666666702</v>
      </c>
      <c r="I598" s="1">
        <v>0</v>
      </c>
      <c r="J598" s="1">
        <v>12</v>
      </c>
      <c r="K598" s="1">
        <v>2014</v>
      </c>
      <c r="L598" s="1">
        <v>0.35416666666666702</v>
      </c>
      <c r="N598" s="1">
        <v>0.35416666666666702</v>
      </c>
      <c r="O598" s="1">
        <f>(N598-N597)/N597</f>
        <v>-0.27819293478260843</v>
      </c>
      <c r="P598" s="5">
        <v>41992</v>
      </c>
      <c r="Q598" s="4">
        <v>45</v>
      </c>
      <c r="R598" s="1"/>
    </row>
    <row r="599" spans="1:18" x14ac:dyDescent="0.2">
      <c r="A599" s="3">
        <v>598</v>
      </c>
      <c r="B599" s="2">
        <v>42000</v>
      </c>
      <c r="C599" s="1">
        <v>9.9011293015418902E-2</v>
      </c>
      <c r="D599" s="1">
        <v>7.9703229169050899E-2</v>
      </c>
      <c r="E599" s="1">
        <v>120</v>
      </c>
      <c r="F599" s="1">
        <v>0</v>
      </c>
      <c r="G599" s="1" t="s">
        <v>0</v>
      </c>
      <c r="H599" s="1">
        <v>0</v>
      </c>
      <c r="I599" s="1">
        <v>0.11413043478260899</v>
      </c>
      <c r="J599" s="1">
        <v>12</v>
      </c>
      <c r="K599" s="1">
        <v>2014</v>
      </c>
      <c r="L599" s="1"/>
      <c r="M599" s="1">
        <v>1E-3</v>
      </c>
      <c r="N599" s="1">
        <v>1E-3</v>
      </c>
      <c r="O599" s="4">
        <f>(N599-N598)/N598</f>
        <v>-0.99717647058823533</v>
      </c>
      <c r="P599" s="2">
        <v>42000</v>
      </c>
      <c r="Q599" s="1">
        <v>46</v>
      </c>
      <c r="R599" s="1"/>
    </row>
    <row r="600" spans="1:18" x14ac:dyDescent="0.2">
      <c r="A600" s="3">
        <v>599</v>
      </c>
      <c r="B600" s="2">
        <v>42005</v>
      </c>
      <c r="C600" s="1">
        <v>0.10230147180457901</v>
      </c>
      <c r="D600" s="1">
        <v>9.9233042448759107E-2</v>
      </c>
      <c r="E600" s="1">
        <v>184</v>
      </c>
      <c r="F600" s="1">
        <v>21</v>
      </c>
      <c r="G600" s="1" t="s">
        <v>0</v>
      </c>
      <c r="H600" s="1">
        <v>0.11413043478260899</v>
      </c>
      <c r="I600" s="1">
        <v>4.6875E-2</v>
      </c>
      <c r="J600" s="1">
        <v>1</v>
      </c>
      <c r="K600" s="1">
        <v>2015</v>
      </c>
      <c r="L600" s="1"/>
      <c r="M600" s="1">
        <v>0.11413043478260899</v>
      </c>
      <c r="N600" s="1">
        <v>0.11413043478260899</v>
      </c>
      <c r="O600" s="1">
        <f>(N600-N599)/N599</f>
        <v>113.13043478260899</v>
      </c>
      <c r="P600" s="2">
        <v>42005</v>
      </c>
      <c r="Q600" s="1">
        <v>1</v>
      </c>
      <c r="R600" s="1"/>
    </row>
    <row r="601" spans="1:18" x14ac:dyDescent="0.2">
      <c r="A601" s="3">
        <v>600</v>
      </c>
      <c r="B601" s="2">
        <v>42013</v>
      </c>
      <c r="C601" s="1">
        <v>6.69591300189495E-2</v>
      </c>
      <c r="D601" s="1">
        <v>6.6709823906421703E-2</v>
      </c>
      <c r="E601" s="1">
        <v>192</v>
      </c>
      <c r="F601" s="1">
        <v>9</v>
      </c>
      <c r="G601" s="1" t="s">
        <v>0</v>
      </c>
      <c r="H601" s="1">
        <v>4.6875E-2</v>
      </c>
      <c r="I601" s="1">
        <v>5.2083333333333296E-3</v>
      </c>
      <c r="J601" s="1">
        <v>1</v>
      </c>
      <c r="K601" s="1">
        <v>2015</v>
      </c>
      <c r="L601" s="1"/>
      <c r="M601" s="1">
        <v>4.6875E-2</v>
      </c>
      <c r="N601" s="1">
        <v>4.6875E-2</v>
      </c>
      <c r="O601" s="1">
        <f>(N601-N600)/N600</f>
        <v>-0.58928571428571541</v>
      </c>
      <c r="P601" s="2">
        <v>42013</v>
      </c>
      <c r="Q601" s="1">
        <v>2</v>
      </c>
      <c r="R601" s="1"/>
    </row>
    <row r="602" spans="1:18" x14ac:dyDescent="0.2">
      <c r="A602" s="3">
        <v>601</v>
      </c>
      <c r="B602" s="2">
        <v>42021</v>
      </c>
      <c r="C602" s="1">
        <v>9.5813630055636201E-2</v>
      </c>
      <c r="D602" s="1">
        <v>9.5080265154441193E-2</v>
      </c>
      <c r="E602" s="1">
        <v>192</v>
      </c>
      <c r="F602" s="1">
        <v>1</v>
      </c>
      <c r="G602" s="1" t="s">
        <v>0</v>
      </c>
      <c r="H602" s="1">
        <v>5.2083333333333296E-3</v>
      </c>
      <c r="I602" s="1">
        <v>0</v>
      </c>
      <c r="J602" s="1">
        <v>1</v>
      </c>
      <c r="K602" s="1">
        <v>2015</v>
      </c>
      <c r="L602" s="1"/>
      <c r="M602" s="1">
        <v>5.2083333333333296E-3</v>
      </c>
      <c r="N602" s="1">
        <v>5.2083333333333296E-3</v>
      </c>
      <c r="O602" s="1">
        <f>(N602-N601)/N601</f>
        <v>-0.88888888888888895</v>
      </c>
      <c r="P602" s="2">
        <v>42021</v>
      </c>
      <c r="Q602" s="1">
        <v>3</v>
      </c>
      <c r="R602" s="1"/>
    </row>
    <row r="603" spans="1:18" x14ac:dyDescent="0.2">
      <c r="A603" s="3">
        <v>602</v>
      </c>
      <c r="B603" s="2">
        <v>42029</v>
      </c>
      <c r="C603" s="1">
        <v>8.9548696928164501E-2</v>
      </c>
      <c r="D603" s="1">
        <v>9.3965381383895902E-2</v>
      </c>
      <c r="E603" s="1">
        <v>192</v>
      </c>
      <c r="F603" s="1">
        <v>0</v>
      </c>
      <c r="G603" s="1" t="s">
        <v>0</v>
      </c>
      <c r="H603" s="1">
        <v>0</v>
      </c>
      <c r="I603" s="1">
        <v>0</v>
      </c>
      <c r="J603" s="1">
        <v>1</v>
      </c>
      <c r="K603" s="1">
        <v>2015</v>
      </c>
      <c r="L603" s="1"/>
      <c r="M603" s="1">
        <v>1E-3</v>
      </c>
      <c r="N603" s="1">
        <v>1E-3</v>
      </c>
      <c r="O603" s="1">
        <f>(N603-N602)/N602</f>
        <v>-0.80799999999999983</v>
      </c>
      <c r="P603" s="2">
        <v>42029</v>
      </c>
      <c r="Q603" s="1">
        <v>4</v>
      </c>
      <c r="R603" s="1"/>
    </row>
    <row r="604" spans="1:18" x14ac:dyDescent="0.2">
      <c r="A604" s="3">
        <v>603</v>
      </c>
      <c r="B604" s="2">
        <v>42037</v>
      </c>
      <c r="C604" s="1">
        <v>7.1736826417630198E-2</v>
      </c>
      <c r="D604" s="1">
        <v>7.47476170460383E-2</v>
      </c>
      <c r="E604" s="1">
        <v>192</v>
      </c>
      <c r="F604" s="1">
        <v>0</v>
      </c>
      <c r="G604" s="1" t="s">
        <v>0</v>
      </c>
      <c r="H604" s="1">
        <v>0</v>
      </c>
      <c r="I604" s="1">
        <v>0</v>
      </c>
      <c r="J604" s="1">
        <v>2</v>
      </c>
      <c r="K604" s="1">
        <v>2015</v>
      </c>
      <c r="L604" s="1"/>
      <c r="M604" s="1">
        <v>1E-3</v>
      </c>
      <c r="N604" s="1">
        <v>1E-3</v>
      </c>
      <c r="O604" s="1">
        <f>(N604-N603)/N603</f>
        <v>0</v>
      </c>
      <c r="P604" s="2">
        <v>42037</v>
      </c>
      <c r="Q604" s="1">
        <v>5</v>
      </c>
      <c r="R604" s="1"/>
    </row>
    <row r="605" spans="1:18" x14ac:dyDescent="0.2">
      <c r="A605" s="3">
        <v>604</v>
      </c>
      <c r="B605" s="2">
        <v>42045</v>
      </c>
      <c r="C605" s="1" t="s">
        <v>0</v>
      </c>
      <c r="D605" s="1" t="s">
        <v>0</v>
      </c>
      <c r="E605" s="1">
        <v>175.5</v>
      </c>
      <c r="F605" s="1">
        <v>0</v>
      </c>
      <c r="G605" s="1" t="s">
        <v>0</v>
      </c>
      <c r="H605" s="1">
        <v>0</v>
      </c>
      <c r="I605" s="1">
        <v>0</v>
      </c>
      <c r="J605" s="1">
        <v>2</v>
      </c>
      <c r="K605" s="1">
        <v>2015</v>
      </c>
      <c r="L605" s="1"/>
      <c r="M605" s="1">
        <v>1E-3</v>
      </c>
      <c r="N605" s="1">
        <v>1E-3</v>
      </c>
      <c r="O605" s="1">
        <f>(N605-N604)/N604</f>
        <v>0</v>
      </c>
      <c r="P605" s="2">
        <v>42045</v>
      </c>
      <c r="Q605" s="1">
        <v>6</v>
      </c>
      <c r="R605" s="1"/>
    </row>
    <row r="606" spans="1:18" x14ac:dyDescent="0.2">
      <c r="A606" s="3">
        <v>605</v>
      </c>
      <c r="B606" s="2">
        <v>42053</v>
      </c>
      <c r="C606" s="1">
        <v>8.8100904296781593E-2</v>
      </c>
      <c r="D606" s="1">
        <v>9.5660857856273707E-2</v>
      </c>
      <c r="E606" s="1">
        <v>192</v>
      </c>
      <c r="F606" s="1">
        <v>0</v>
      </c>
      <c r="G606" s="1" t="s">
        <v>0</v>
      </c>
      <c r="H606" s="1">
        <v>0</v>
      </c>
      <c r="I606" s="1">
        <v>0</v>
      </c>
      <c r="J606" s="1">
        <v>2</v>
      </c>
      <c r="K606" s="1">
        <v>2015</v>
      </c>
      <c r="L606" s="1"/>
      <c r="M606" s="1">
        <v>1E-3</v>
      </c>
      <c r="N606" s="1">
        <v>1E-3</v>
      </c>
      <c r="O606" s="1">
        <f>(N606-N605)/N605</f>
        <v>0</v>
      </c>
      <c r="P606" s="2">
        <v>42053</v>
      </c>
      <c r="Q606" s="1">
        <v>7</v>
      </c>
      <c r="R606" s="1"/>
    </row>
    <row r="607" spans="1:18" x14ac:dyDescent="0.2">
      <c r="A607" s="3">
        <v>606</v>
      </c>
      <c r="B607" s="2">
        <v>42061</v>
      </c>
      <c r="C607" s="1">
        <v>9.4268976253752398E-2</v>
      </c>
      <c r="D607" s="1">
        <v>9.5031951864560399E-2</v>
      </c>
      <c r="E607" s="1">
        <v>192</v>
      </c>
      <c r="F607" s="1">
        <v>0</v>
      </c>
      <c r="G607" s="1" t="s">
        <v>0</v>
      </c>
      <c r="H607" s="1">
        <v>0</v>
      </c>
      <c r="I607" s="1">
        <v>4.1666666666666699E-2</v>
      </c>
      <c r="J607" s="1">
        <v>2</v>
      </c>
      <c r="K607" s="1">
        <v>2015</v>
      </c>
      <c r="L607" s="1"/>
      <c r="M607" s="1">
        <v>1E-3</v>
      </c>
      <c r="N607" s="1">
        <v>1E-3</v>
      </c>
      <c r="O607" s="1">
        <f>(N607-N606)/N606</f>
        <v>0</v>
      </c>
      <c r="P607" s="2">
        <v>42061</v>
      </c>
      <c r="Q607" s="1">
        <v>8</v>
      </c>
      <c r="R607" s="1"/>
    </row>
    <row r="608" spans="1:18" x14ac:dyDescent="0.2">
      <c r="A608" s="3">
        <v>607</v>
      </c>
      <c r="B608" s="2">
        <v>42069</v>
      </c>
      <c r="C608" s="1">
        <v>8.6387057355634705E-2</v>
      </c>
      <c r="D608" s="1">
        <v>9.02581252157688E-2</v>
      </c>
      <c r="E608" s="1">
        <v>192</v>
      </c>
      <c r="F608" s="1">
        <v>8</v>
      </c>
      <c r="G608" s="1" t="s">
        <v>0</v>
      </c>
      <c r="H608" s="1">
        <v>4.1666666666666699E-2</v>
      </c>
      <c r="I608" s="1">
        <v>4.6875E-2</v>
      </c>
      <c r="J608" s="1">
        <v>3</v>
      </c>
      <c r="K608" s="1">
        <v>2015</v>
      </c>
      <c r="L608" s="1"/>
      <c r="M608" s="1">
        <v>4.1666666666666699E-2</v>
      </c>
      <c r="N608" s="1">
        <v>4.1666666666666699E-2</v>
      </c>
      <c r="O608" s="1">
        <f>(N608-N607)/N607</f>
        <v>40.6666666666667</v>
      </c>
      <c r="P608" s="2">
        <v>42069</v>
      </c>
      <c r="Q608" s="1">
        <v>9</v>
      </c>
      <c r="R608" s="1"/>
    </row>
    <row r="609" spans="1:18" x14ac:dyDescent="0.2">
      <c r="A609" s="3">
        <v>608</v>
      </c>
      <c r="B609" s="2">
        <v>42077</v>
      </c>
      <c r="C609" s="1">
        <v>7.6651137169093303E-2</v>
      </c>
      <c r="D609" s="1">
        <v>8.5196799039840704E-2</v>
      </c>
      <c r="E609" s="1">
        <v>192</v>
      </c>
      <c r="F609" s="1">
        <v>9</v>
      </c>
      <c r="G609" s="1" t="s">
        <v>0</v>
      </c>
      <c r="H609" s="1">
        <v>4.6875E-2</v>
      </c>
      <c r="I609" s="1">
        <v>2.0833333333333301E-2</v>
      </c>
      <c r="J609" s="1">
        <v>3</v>
      </c>
      <c r="K609" s="1">
        <v>2015</v>
      </c>
      <c r="L609" s="1"/>
      <c r="M609" s="1">
        <v>4.6875E-2</v>
      </c>
      <c r="N609" s="1">
        <v>4.6875E-2</v>
      </c>
      <c r="O609" s="1">
        <f>(N609-N608)/N608</f>
        <v>0.12499999999999913</v>
      </c>
      <c r="P609" s="2">
        <v>42077</v>
      </c>
      <c r="Q609" s="1">
        <v>10</v>
      </c>
      <c r="R609" s="1"/>
    </row>
    <row r="610" spans="1:18" x14ac:dyDescent="0.2">
      <c r="A610" s="3">
        <v>609</v>
      </c>
      <c r="B610" s="2">
        <v>42085</v>
      </c>
      <c r="C610" s="1">
        <v>7.9710948001022006E-2</v>
      </c>
      <c r="D610" s="1">
        <v>7.6872291664282499E-2</v>
      </c>
      <c r="E610" s="1">
        <v>192</v>
      </c>
      <c r="F610" s="1">
        <v>4</v>
      </c>
      <c r="G610" s="1" t="s">
        <v>0</v>
      </c>
      <c r="H610" s="1">
        <v>2.0833333333333301E-2</v>
      </c>
      <c r="I610" s="1">
        <v>0.45833333333333298</v>
      </c>
      <c r="J610" s="1">
        <v>3</v>
      </c>
      <c r="K610" s="1">
        <v>2015</v>
      </c>
      <c r="L610" s="1"/>
      <c r="M610" s="1">
        <v>2.0833333333333301E-2</v>
      </c>
      <c r="N610" s="1">
        <v>2.0833333333333301E-2</v>
      </c>
      <c r="O610" s="1">
        <f>(N610-N609)/N609</f>
        <v>-0.55555555555555625</v>
      </c>
      <c r="P610" s="2">
        <v>42085</v>
      </c>
      <c r="Q610" s="1">
        <v>11</v>
      </c>
      <c r="R610" s="1"/>
    </row>
    <row r="611" spans="1:18" x14ac:dyDescent="0.2">
      <c r="A611" s="3">
        <v>610</v>
      </c>
      <c r="B611" s="2">
        <v>42093</v>
      </c>
      <c r="C611" s="1">
        <v>7.2258431730525804E-2</v>
      </c>
      <c r="D611" s="1" t="s">
        <v>0</v>
      </c>
      <c r="E611" s="1">
        <v>192</v>
      </c>
      <c r="F611" s="1">
        <v>88</v>
      </c>
      <c r="G611" s="1" t="s">
        <v>0</v>
      </c>
      <c r="H611" s="1">
        <v>0.45833333333333298</v>
      </c>
      <c r="I611" s="1">
        <v>0.140625</v>
      </c>
      <c r="J611" s="1">
        <v>3</v>
      </c>
      <c r="K611" s="1">
        <v>2015</v>
      </c>
      <c r="L611" s="1"/>
      <c r="M611" s="1">
        <v>0.45833333333333298</v>
      </c>
      <c r="N611" s="1">
        <v>0.45833333333333298</v>
      </c>
      <c r="O611" s="1">
        <f>(N611-N610)/N610</f>
        <v>21.000000000000018</v>
      </c>
      <c r="P611" s="2">
        <v>42093</v>
      </c>
      <c r="Q611" s="1">
        <v>12</v>
      </c>
      <c r="R611" s="1"/>
    </row>
    <row r="612" spans="1:18" x14ac:dyDescent="0.2">
      <c r="A612" s="3">
        <v>611</v>
      </c>
      <c r="B612" s="2">
        <v>42101</v>
      </c>
      <c r="C612" s="1">
        <v>8.1229318255259697E-2</v>
      </c>
      <c r="D612" s="1">
        <v>7.6185302187999099E-2</v>
      </c>
      <c r="E612" s="1">
        <v>192</v>
      </c>
      <c r="F612" s="1">
        <v>27</v>
      </c>
      <c r="G612" s="1" t="s">
        <v>0</v>
      </c>
      <c r="H612" s="1">
        <v>0.140625</v>
      </c>
      <c r="I612" s="1">
        <v>5.2083333333333296E-3</v>
      </c>
      <c r="J612" s="1">
        <v>4</v>
      </c>
      <c r="K612" s="1">
        <v>2015</v>
      </c>
      <c r="L612" s="1"/>
      <c r="M612" s="1">
        <v>0.140625</v>
      </c>
      <c r="N612" s="1">
        <v>0.140625</v>
      </c>
      <c r="O612" s="1">
        <f>(N612-N611)/N611</f>
        <v>-0.6931818181818179</v>
      </c>
      <c r="P612" s="2">
        <v>42101</v>
      </c>
      <c r="Q612" s="1">
        <v>13</v>
      </c>
      <c r="R612" s="1"/>
    </row>
    <row r="613" spans="1:18" x14ac:dyDescent="0.2">
      <c r="A613" s="3">
        <v>612</v>
      </c>
      <c r="B613" s="2">
        <v>42109</v>
      </c>
      <c r="C613" s="1">
        <v>7.5316385373594294E-2</v>
      </c>
      <c r="D613" s="1">
        <v>7.3793105781078297E-2</v>
      </c>
      <c r="E613" s="1">
        <v>192</v>
      </c>
      <c r="F613" s="1">
        <v>1</v>
      </c>
      <c r="G613" s="1" t="s">
        <v>0</v>
      </c>
      <c r="H613" s="1">
        <v>5.2083333333333296E-3</v>
      </c>
      <c r="I613" s="1">
        <v>9.8958333333333301E-2</v>
      </c>
      <c r="J613" s="1">
        <v>4</v>
      </c>
      <c r="K613" s="1">
        <v>2015</v>
      </c>
      <c r="L613" s="1"/>
      <c r="M613" s="1">
        <v>5.2083333333333296E-3</v>
      </c>
      <c r="N613" s="1">
        <v>5.2083333333333296E-3</v>
      </c>
      <c r="O613" s="1">
        <f>(N613-N612)/N612</f>
        <v>-0.96296296296296291</v>
      </c>
      <c r="P613" s="2">
        <v>42109</v>
      </c>
      <c r="Q613" s="1">
        <v>14</v>
      </c>
      <c r="R613" s="1"/>
    </row>
    <row r="614" spans="1:18" x14ac:dyDescent="0.2">
      <c r="A614" s="3">
        <v>613</v>
      </c>
      <c r="B614" s="2">
        <v>42117</v>
      </c>
      <c r="C614" s="1">
        <v>7.9200053277115004E-2</v>
      </c>
      <c r="D614" s="1">
        <v>7.7033345897992406E-2</v>
      </c>
      <c r="E614" s="1">
        <v>192</v>
      </c>
      <c r="F614" s="1">
        <v>19</v>
      </c>
      <c r="G614" s="1" t="s">
        <v>0</v>
      </c>
      <c r="H614" s="1">
        <v>9.8958333333333301E-2</v>
      </c>
      <c r="I614" s="1">
        <v>0.63641105894627004</v>
      </c>
      <c r="J614" s="1">
        <v>4</v>
      </c>
      <c r="K614" s="1">
        <v>2015</v>
      </c>
      <c r="L614" s="1"/>
      <c r="M614" s="1">
        <v>9.8958333333333301E-2</v>
      </c>
      <c r="N614" s="1">
        <v>9.8958333333333301E-2</v>
      </c>
      <c r="O614" s="1">
        <f>(N614-N613)/N613</f>
        <v>18.000000000000007</v>
      </c>
      <c r="P614" s="2">
        <v>42117</v>
      </c>
      <c r="Q614" s="1">
        <v>15</v>
      </c>
      <c r="R614" s="1"/>
    </row>
    <row r="615" spans="1:18" x14ac:dyDescent="0.2">
      <c r="A615" s="3">
        <v>614</v>
      </c>
      <c r="B615" s="2">
        <v>42125</v>
      </c>
      <c r="C615" s="1">
        <v>8.2196392144446503E-2</v>
      </c>
      <c r="D615" s="1">
        <v>8.3964228630065904E-2</v>
      </c>
      <c r="E615" s="1">
        <v>191.7</v>
      </c>
      <c r="F615" s="1">
        <v>122</v>
      </c>
      <c r="G615" s="1" t="s">
        <v>0</v>
      </c>
      <c r="H615" s="1">
        <v>0.63641105894627004</v>
      </c>
      <c r="I615" s="1">
        <v>0.73958333333333304</v>
      </c>
      <c r="J615" s="1">
        <v>5</v>
      </c>
      <c r="K615" s="1">
        <v>2015</v>
      </c>
      <c r="L615" s="1"/>
      <c r="M615" s="1">
        <v>0.63641105894627004</v>
      </c>
      <c r="N615" s="1">
        <v>0.63641105894627004</v>
      </c>
      <c r="O615" s="1">
        <f>(N615-N614)/N614</f>
        <v>5.4311012272465211</v>
      </c>
      <c r="P615" s="2">
        <v>42125</v>
      </c>
      <c r="Q615" s="1">
        <v>16</v>
      </c>
      <c r="R615" s="1"/>
    </row>
    <row r="616" spans="1:18" x14ac:dyDescent="0.2">
      <c r="A616" s="3">
        <v>615</v>
      </c>
      <c r="B616" s="2">
        <v>42133</v>
      </c>
      <c r="C616" s="1">
        <v>8.1964487141770598E-2</v>
      </c>
      <c r="D616" s="1">
        <v>7.8623869766791699E-2</v>
      </c>
      <c r="E616" s="1">
        <v>192</v>
      </c>
      <c r="F616" s="1">
        <v>142</v>
      </c>
      <c r="G616" s="1" t="s">
        <v>0</v>
      </c>
      <c r="H616" s="1">
        <v>0.73958333333333304</v>
      </c>
      <c r="I616" s="1">
        <v>0.453125</v>
      </c>
      <c r="J616" s="1">
        <v>5</v>
      </c>
      <c r="K616" s="1">
        <v>2015</v>
      </c>
      <c r="L616" s="1"/>
      <c r="M616" s="1">
        <v>0.73958333333333304</v>
      </c>
      <c r="N616" s="1">
        <v>0.73958333333333304</v>
      </c>
      <c r="O616" s="1">
        <f>(N616-N615)/N615</f>
        <v>0.16211577868852445</v>
      </c>
      <c r="P616" s="2">
        <v>42133</v>
      </c>
      <c r="Q616" s="1">
        <v>17</v>
      </c>
      <c r="R616" s="1"/>
    </row>
    <row r="617" spans="1:18" x14ac:dyDescent="0.2">
      <c r="A617" s="3">
        <v>616</v>
      </c>
      <c r="B617" s="2">
        <v>42141</v>
      </c>
      <c r="C617" s="1">
        <v>8.1627789240928297E-2</v>
      </c>
      <c r="D617" s="1">
        <v>7.9411260783672305E-2</v>
      </c>
      <c r="E617" s="1">
        <v>192</v>
      </c>
      <c r="F617" s="1">
        <v>87</v>
      </c>
      <c r="G617" s="1" t="s">
        <v>0</v>
      </c>
      <c r="H617" s="1">
        <v>0.453125</v>
      </c>
      <c r="I617" s="1">
        <v>0.82291666666666696</v>
      </c>
      <c r="J617" s="1">
        <v>5</v>
      </c>
      <c r="K617" s="1">
        <v>2015</v>
      </c>
      <c r="L617" s="1"/>
      <c r="M617" s="1">
        <v>0.453125</v>
      </c>
      <c r="N617" s="1">
        <v>0.453125</v>
      </c>
      <c r="O617" s="1">
        <f>(N617-N616)/N616</f>
        <v>-0.38732394366197159</v>
      </c>
      <c r="P617" s="2">
        <v>42141</v>
      </c>
      <c r="Q617" s="1">
        <v>18</v>
      </c>
      <c r="R617" s="1"/>
    </row>
    <row r="618" spans="1:18" x14ac:dyDescent="0.2">
      <c r="A618" s="3">
        <v>617</v>
      </c>
      <c r="B618" s="5">
        <v>42149</v>
      </c>
      <c r="C618" s="1">
        <v>8.4926653872517993E-2</v>
      </c>
      <c r="D618" s="1">
        <v>6.8178802728652996E-2</v>
      </c>
      <c r="E618" s="1">
        <v>192</v>
      </c>
      <c r="F618" s="1">
        <v>158</v>
      </c>
      <c r="G618" s="1" t="s">
        <v>0</v>
      </c>
      <c r="H618" s="1">
        <v>0.82291666666666696</v>
      </c>
      <c r="I618" s="1">
        <v>0.65625</v>
      </c>
      <c r="J618" s="1">
        <v>5</v>
      </c>
      <c r="K618" s="1">
        <v>2015</v>
      </c>
      <c r="L618" s="1">
        <v>0.82291666666666696</v>
      </c>
      <c r="N618" s="1">
        <v>0.82291666666666696</v>
      </c>
      <c r="O618" s="4">
        <f>(N618-N617)/N617</f>
        <v>0.81609195402298917</v>
      </c>
      <c r="P618" s="5">
        <v>42149</v>
      </c>
      <c r="Q618" s="4">
        <v>19</v>
      </c>
      <c r="R618" s="1"/>
    </row>
    <row r="619" spans="1:18" x14ac:dyDescent="0.2">
      <c r="A619" s="3">
        <v>618</v>
      </c>
      <c r="B619" s="2">
        <v>42157</v>
      </c>
      <c r="C619" s="1">
        <v>9.7052697115433101E-2</v>
      </c>
      <c r="D619" s="1">
        <v>0.102247425665458</v>
      </c>
      <c r="E619" s="1">
        <v>192</v>
      </c>
      <c r="F619" s="1">
        <v>126</v>
      </c>
      <c r="G619" s="1" t="s">
        <v>0</v>
      </c>
      <c r="H619" s="1">
        <v>0.65625</v>
      </c>
      <c r="I619" s="1">
        <v>0.94791666666666696</v>
      </c>
      <c r="J619" s="1">
        <v>6</v>
      </c>
      <c r="K619" s="1">
        <v>2015</v>
      </c>
      <c r="L619" s="1">
        <v>0.65625</v>
      </c>
      <c r="N619" s="1">
        <v>0.65625</v>
      </c>
      <c r="O619" s="1">
        <f>(N619-N618)/N618</f>
        <v>-0.20253164556962053</v>
      </c>
      <c r="P619" s="2">
        <v>42157</v>
      </c>
      <c r="Q619" s="1">
        <v>20</v>
      </c>
      <c r="R619" s="1"/>
    </row>
    <row r="620" spans="1:18" x14ac:dyDescent="0.2">
      <c r="A620" s="3">
        <v>619</v>
      </c>
      <c r="B620" s="2">
        <v>42165</v>
      </c>
      <c r="C620" s="1">
        <v>0.10008815890806599</v>
      </c>
      <c r="D620" s="1">
        <v>0.107829436659813</v>
      </c>
      <c r="E620" s="1">
        <v>192</v>
      </c>
      <c r="F620" s="1">
        <v>182</v>
      </c>
      <c r="G620" s="1" t="s">
        <v>0</v>
      </c>
      <c r="H620" s="1">
        <v>0.94791666666666696</v>
      </c>
      <c r="I620" s="1">
        <v>0.94270833333333304</v>
      </c>
      <c r="J620" s="1">
        <v>6</v>
      </c>
      <c r="K620" s="1">
        <v>2015</v>
      </c>
      <c r="L620" s="1">
        <v>0.94791666666666696</v>
      </c>
      <c r="N620" s="1">
        <v>0.94791666666666696</v>
      </c>
      <c r="O620" s="1">
        <f>(N620-N619)/N619</f>
        <v>0.44444444444444492</v>
      </c>
      <c r="P620" s="2">
        <v>42165</v>
      </c>
      <c r="Q620" s="1">
        <v>21</v>
      </c>
      <c r="R620" s="1"/>
    </row>
    <row r="621" spans="1:18" x14ac:dyDescent="0.2">
      <c r="A621" s="3">
        <v>620</v>
      </c>
      <c r="B621" s="2">
        <v>42173</v>
      </c>
      <c r="C621" s="1">
        <v>8.6764918374163794E-2</v>
      </c>
      <c r="D621" s="1">
        <v>8.9979596436023698E-2</v>
      </c>
      <c r="E621" s="1">
        <v>192</v>
      </c>
      <c r="F621" s="1">
        <v>181</v>
      </c>
      <c r="G621" s="1" t="s">
        <v>0</v>
      </c>
      <c r="H621" s="1">
        <v>0.94270833333333304</v>
      </c>
      <c r="I621" s="1">
        <v>1</v>
      </c>
      <c r="J621" s="1">
        <v>6</v>
      </c>
      <c r="K621" s="1">
        <v>2015</v>
      </c>
      <c r="L621" s="1">
        <v>0.94270833333333304</v>
      </c>
      <c r="N621" s="1">
        <v>0.94270833333333304</v>
      </c>
      <c r="O621" s="1">
        <f>(N621-N620)/N620</f>
        <v>-5.4945054945061177E-3</v>
      </c>
      <c r="P621" s="2">
        <v>42173</v>
      </c>
      <c r="Q621" s="1">
        <v>22</v>
      </c>
      <c r="R621" s="1"/>
    </row>
    <row r="622" spans="1:18" x14ac:dyDescent="0.2">
      <c r="A622" s="3">
        <v>621</v>
      </c>
      <c r="B622" s="2">
        <v>42181</v>
      </c>
      <c r="C622" s="1">
        <v>0.118802712037322</v>
      </c>
      <c r="D622" s="1">
        <v>0.14949767291545901</v>
      </c>
      <c r="E622" s="1">
        <v>192</v>
      </c>
      <c r="F622" s="1">
        <v>192</v>
      </c>
      <c r="G622" s="1" t="s">
        <v>0</v>
      </c>
      <c r="H622" s="1">
        <v>1</v>
      </c>
      <c r="I622" s="1">
        <v>0.94270833333333304</v>
      </c>
      <c r="J622" s="1">
        <v>6</v>
      </c>
      <c r="K622" s="1">
        <v>2015</v>
      </c>
      <c r="L622" s="1">
        <v>1</v>
      </c>
      <c r="N622" s="1">
        <v>1</v>
      </c>
      <c r="O622" s="1">
        <f>(N622-N621)/N621</f>
        <v>6.0773480662983756E-2</v>
      </c>
      <c r="P622" s="2">
        <v>42181</v>
      </c>
      <c r="Q622" s="1">
        <v>23</v>
      </c>
      <c r="R622" s="1"/>
    </row>
    <row r="623" spans="1:18" x14ac:dyDescent="0.2">
      <c r="A623" s="3">
        <v>622</v>
      </c>
      <c r="B623" s="5">
        <v>42189</v>
      </c>
      <c r="C623" s="1">
        <v>0.125423516604033</v>
      </c>
      <c r="D623" s="1">
        <v>9.8074436187744099E-2</v>
      </c>
      <c r="E623" s="1">
        <v>192</v>
      </c>
      <c r="F623" s="1">
        <v>181</v>
      </c>
      <c r="G623" s="1" t="s">
        <v>0</v>
      </c>
      <c r="H623" s="1">
        <v>0.94270833333333304</v>
      </c>
      <c r="I623" s="1">
        <v>0.5</v>
      </c>
      <c r="J623" s="1">
        <v>7</v>
      </c>
      <c r="K623" s="1">
        <v>2015</v>
      </c>
      <c r="L623" s="1">
        <v>0.94270833333333304</v>
      </c>
      <c r="N623" s="1">
        <v>0.94270833333333304</v>
      </c>
      <c r="O623" s="1">
        <f>(N623-N622)/N622</f>
        <v>-5.7291666666666963E-2</v>
      </c>
      <c r="P623" s="5">
        <v>42189</v>
      </c>
      <c r="Q623" s="4">
        <v>24</v>
      </c>
      <c r="R623" s="1"/>
    </row>
    <row r="624" spans="1:18" x14ac:dyDescent="0.2">
      <c r="A624" s="3">
        <v>623</v>
      </c>
      <c r="B624" s="2">
        <v>42197</v>
      </c>
      <c r="C624" s="1">
        <v>0.127374310667316</v>
      </c>
      <c r="D624" s="1">
        <v>0.14951331168413201</v>
      </c>
      <c r="E624" s="1">
        <v>192</v>
      </c>
      <c r="F624" s="1">
        <v>96</v>
      </c>
      <c r="G624" s="1" t="s">
        <v>0</v>
      </c>
      <c r="H624" s="1">
        <v>0.5</v>
      </c>
      <c r="I624" s="1">
        <v>0.56770833333333304</v>
      </c>
      <c r="J624" s="1">
        <v>7</v>
      </c>
      <c r="K624" s="1">
        <v>2015</v>
      </c>
      <c r="L624" s="1"/>
      <c r="M624" s="1">
        <v>0.5</v>
      </c>
      <c r="N624" s="1">
        <v>0.5</v>
      </c>
      <c r="O624" s="4">
        <f>(N624-N623)/N623</f>
        <v>-0.46961325966850814</v>
      </c>
      <c r="P624" s="2">
        <v>42197</v>
      </c>
      <c r="Q624" s="1">
        <v>25</v>
      </c>
      <c r="R624" s="1"/>
    </row>
    <row r="625" spans="1:18" x14ac:dyDescent="0.2">
      <c r="A625" s="3">
        <v>624</v>
      </c>
      <c r="B625" s="2">
        <v>42205</v>
      </c>
      <c r="C625" s="1">
        <v>0.147851524408907</v>
      </c>
      <c r="D625" s="1">
        <v>0.15691336989402799</v>
      </c>
      <c r="E625" s="1">
        <v>192</v>
      </c>
      <c r="F625" s="1">
        <v>109</v>
      </c>
      <c r="G625" s="1" t="s">
        <v>0</v>
      </c>
      <c r="H625" s="1">
        <v>0.56770833333333304</v>
      </c>
      <c r="I625" s="1">
        <v>0.984375</v>
      </c>
      <c r="J625" s="1">
        <v>7</v>
      </c>
      <c r="K625" s="1">
        <v>2015</v>
      </c>
      <c r="L625" s="1"/>
      <c r="M625" s="1">
        <v>0.56770833333333304</v>
      </c>
      <c r="N625" s="1">
        <v>0.56770833333333304</v>
      </c>
      <c r="O625" s="1">
        <f>(N625-N624)/N624</f>
        <v>0.13541666666666607</v>
      </c>
      <c r="P625" s="2">
        <v>42205</v>
      </c>
      <c r="Q625" s="1">
        <v>26</v>
      </c>
      <c r="R625" s="1"/>
    </row>
    <row r="626" spans="1:18" x14ac:dyDescent="0.2">
      <c r="A626" s="3">
        <v>625</v>
      </c>
      <c r="B626" s="5">
        <v>42213</v>
      </c>
      <c r="C626" s="1">
        <v>0.16156036110923599</v>
      </c>
      <c r="D626" s="1">
        <v>0.15699764713645001</v>
      </c>
      <c r="E626" s="1">
        <v>192</v>
      </c>
      <c r="F626" s="1">
        <v>189</v>
      </c>
      <c r="G626" s="1" t="s">
        <v>0</v>
      </c>
      <c r="H626" s="1">
        <v>0.984375</v>
      </c>
      <c r="I626" s="1">
        <v>1</v>
      </c>
      <c r="J626" s="1">
        <v>7</v>
      </c>
      <c r="K626" s="1">
        <v>2015</v>
      </c>
      <c r="L626" s="1">
        <v>0.984375</v>
      </c>
      <c r="N626" s="1">
        <v>0.984375</v>
      </c>
      <c r="O626" s="4">
        <f>(N626-N625)/N625</f>
        <v>0.7339449541284413</v>
      </c>
      <c r="P626" s="5">
        <v>42213</v>
      </c>
      <c r="Q626" s="4">
        <v>27</v>
      </c>
      <c r="R626" s="1"/>
    </row>
    <row r="627" spans="1:18" x14ac:dyDescent="0.2">
      <c r="A627" s="3">
        <v>626</v>
      </c>
      <c r="B627" s="2">
        <v>42221</v>
      </c>
      <c r="C627" s="1">
        <v>0.178636295454843</v>
      </c>
      <c r="D627" s="1">
        <v>0.170974612236023</v>
      </c>
      <c r="E627" s="1">
        <v>192</v>
      </c>
      <c r="F627" s="1">
        <v>192</v>
      </c>
      <c r="G627" s="1" t="s">
        <v>0</v>
      </c>
      <c r="H627" s="1">
        <v>1</v>
      </c>
      <c r="I627" s="1">
        <v>0.875</v>
      </c>
      <c r="J627" s="1">
        <v>8</v>
      </c>
      <c r="K627" s="1">
        <v>2015</v>
      </c>
      <c r="L627" s="1">
        <v>1</v>
      </c>
      <c r="N627" s="1">
        <v>1</v>
      </c>
      <c r="O627" s="1">
        <f>(N627-N626)/N626</f>
        <v>1.5873015873015872E-2</v>
      </c>
      <c r="P627" s="2">
        <v>42221</v>
      </c>
      <c r="Q627" s="1">
        <v>28</v>
      </c>
      <c r="R627" s="1"/>
    </row>
    <row r="628" spans="1:18" x14ac:dyDescent="0.2">
      <c r="A628" s="3">
        <v>627</v>
      </c>
      <c r="B628" s="2">
        <v>42229</v>
      </c>
      <c r="C628" s="1">
        <v>0.16809388929670999</v>
      </c>
      <c r="D628" s="1">
        <v>0.175889271001021</v>
      </c>
      <c r="E628" s="1">
        <v>192</v>
      </c>
      <c r="F628" s="1">
        <v>168</v>
      </c>
      <c r="G628" s="1" t="s">
        <v>0</v>
      </c>
      <c r="H628" s="1">
        <v>0.875</v>
      </c>
      <c r="I628" s="1">
        <v>0.9375</v>
      </c>
      <c r="J628" s="1">
        <v>8</v>
      </c>
      <c r="K628" s="1">
        <v>2015</v>
      </c>
      <c r="L628" s="1">
        <v>0.875</v>
      </c>
      <c r="N628" s="1">
        <v>0.875</v>
      </c>
      <c r="O628" s="1">
        <f>(N628-N627)/N627</f>
        <v>-0.125</v>
      </c>
      <c r="P628" s="2">
        <v>42229</v>
      </c>
      <c r="Q628" s="1">
        <v>29</v>
      </c>
      <c r="R628" s="1"/>
    </row>
    <row r="629" spans="1:18" x14ac:dyDescent="0.2">
      <c r="A629" s="3">
        <v>628</v>
      </c>
      <c r="B629" s="2">
        <v>42237</v>
      </c>
      <c r="C629" s="1">
        <v>0.11345218562267</v>
      </c>
      <c r="D629" s="1" t="s">
        <v>0</v>
      </c>
      <c r="E629" s="1">
        <v>192</v>
      </c>
      <c r="F629" s="1">
        <v>180</v>
      </c>
      <c r="G629" s="1" t="s">
        <v>0</v>
      </c>
      <c r="H629" s="1">
        <v>0.9375</v>
      </c>
      <c r="I629" s="1">
        <v>0.91596638655462204</v>
      </c>
      <c r="J629" s="1">
        <v>8</v>
      </c>
      <c r="K629" s="1">
        <v>2015</v>
      </c>
      <c r="L629" s="1">
        <v>0.9375</v>
      </c>
      <c r="N629" s="1">
        <v>0.9375</v>
      </c>
      <c r="O629" s="1">
        <f>(N629-N628)/N628</f>
        <v>7.1428571428571425E-2</v>
      </c>
      <c r="P629" s="2">
        <v>42237</v>
      </c>
      <c r="Q629" s="1">
        <v>30</v>
      </c>
      <c r="R629" s="1"/>
    </row>
    <row r="630" spans="1:18" x14ac:dyDescent="0.2">
      <c r="A630" s="3">
        <v>629</v>
      </c>
      <c r="B630" s="2">
        <v>42245</v>
      </c>
      <c r="C630" s="1">
        <v>0.14096213715231901</v>
      </c>
      <c r="D630" s="1" t="s">
        <v>0</v>
      </c>
      <c r="E630" s="1">
        <v>190.4</v>
      </c>
      <c r="F630" s="1">
        <v>174.4</v>
      </c>
      <c r="G630" s="1" t="s">
        <v>0</v>
      </c>
      <c r="H630" s="1">
        <v>0.91596638655462204</v>
      </c>
      <c r="I630" s="1">
        <v>0.90104166666666696</v>
      </c>
      <c r="J630" s="1">
        <v>8</v>
      </c>
      <c r="K630" s="1">
        <v>2015</v>
      </c>
      <c r="L630" s="1">
        <v>0.91596638655462204</v>
      </c>
      <c r="N630" s="1">
        <v>0.91596638655462204</v>
      </c>
      <c r="O630" s="1">
        <f>(N630-N629)/N629</f>
        <v>-2.2969187675069828E-2</v>
      </c>
      <c r="P630" s="2">
        <v>42245</v>
      </c>
      <c r="Q630" s="1">
        <v>31</v>
      </c>
      <c r="R630" s="1"/>
    </row>
    <row r="631" spans="1:18" x14ac:dyDescent="0.2">
      <c r="A631" s="3">
        <v>630</v>
      </c>
      <c r="B631" s="2">
        <v>42253</v>
      </c>
      <c r="C631" s="1" t="s">
        <v>0</v>
      </c>
      <c r="D631" s="1" t="s">
        <v>0</v>
      </c>
      <c r="E631" s="1">
        <v>192</v>
      </c>
      <c r="F631" s="1">
        <v>173</v>
      </c>
      <c r="G631" s="1" t="s">
        <v>0</v>
      </c>
      <c r="H631" s="1">
        <v>0.90104166666666696</v>
      </c>
      <c r="I631" s="1">
        <v>0.328125</v>
      </c>
      <c r="J631" s="1">
        <v>9</v>
      </c>
      <c r="K631" s="1">
        <v>2015</v>
      </c>
      <c r="L631" s="1">
        <v>0.90104166666666696</v>
      </c>
      <c r="N631" s="1">
        <v>0.90104166666666696</v>
      </c>
      <c r="O631" s="1">
        <f>(N631-N630)/N630</f>
        <v>-1.6293960244648197E-2</v>
      </c>
      <c r="P631" s="2">
        <v>42253</v>
      </c>
      <c r="Q631" s="1">
        <v>32</v>
      </c>
      <c r="R631" s="1"/>
    </row>
    <row r="632" spans="1:18" x14ac:dyDescent="0.2">
      <c r="A632" s="3">
        <v>631</v>
      </c>
      <c r="B632" s="5">
        <v>42261</v>
      </c>
      <c r="C632" s="1">
        <v>0.122307493431228</v>
      </c>
      <c r="D632" s="1" t="s">
        <v>0</v>
      </c>
      <c r="E632" s="1">
        <v>192</v>
      </c>
      <c r="F632" s="1">
        <v>63</v>
      </c>
      <c r="G632" s="1" t="s">
        <v>0</v>
      </c>
      <c r="H632" s="1">
        <v>0.328125</v>
      </c>
      <c r="I632" s="1">
        <v>7.8125E-2</v>
      </c>
      <c r="J632" s="1">
        <v>9</v>
      </c>
      <c r="K632" s="1">
        <v>2015</v>
      </c>
      <c r="L632" s="1">
        <v>0.328125</v>
      </c>
      <c r="N632" s="1">
        <v>0.328125</v>
      </c>
      <c r="O632" s="1">
        <f>(N632-N631)/N631</f>
        <v>-0.63583815028901747</v>
      </c>
      <c r="P632" s="5">
        <v>42261</v>
      </c>
      <c r="Q632" s="4">
        <v>33</v>
      </c>
      <c r="R632" s="1"/>
    </row>
    <row r="633" spans="1:18" x14ac:dyDescent="0.2">
      <c r="A633" s="3">
        <v>632</v>
      </c>
      <c r="B633" s="2">
        <v>42269</v>
      </c>
      <c r="C633" s="1" t="s">
        <v>0</v>
      </c>
      <c r="D633" s="1" t="s">
        <v>0</v>
      </c>
      <c r="E633" s="1">
        <v>192</v>
      </c>
      <c r="F633" s="1">
        <v>15</v>
      </c>
      <c r="G633" s="1" t="s">
        <v>0</v>
      </c>
      <c r="H633" s="1">
        <v>7.8125E-2</v>
      </c>
      <c r="I633" s="1">
        <v>0.26041666666666702</v>
      </c>
      <c r="J633" s="1">
        <v>9</v>
      </c>
      <c r="K633" s="1">
        <v>2015</v>
      </c>
      <c r="L633" s="1"/>
      <c r="M633" s="1">
        <v>7.8125E-2</v>
      </c>
      <c r="N633" s="1">
        <v>7.8125E-2</v>
      </c>
      <c r="O633" s="4">
        <f>(N633-N632)/N632</f>
        <v>-0.76190476190476186</v>
      </c>
      <c r="P633" s="2">
        <v>42269</v>
      </c>
      <c r="Q633" s="1">
        <v>34</v>
      </c>
      <c r="R633" s="1"/>
    </row>
    <row r="634" spans="1:18" x14ac:dyDescent="0.2">
      <c r="A634" s="3">
        <v>633</v>
      </c>
      <c r="B634" s="5">
        <v>42277</v>
      </c>
      <c r="C634" s="1">
        <v>0.17477326829364301</v>
      </c>
      <c r="D634" s="1" t="s">
        <v>0</v>
      </c>
      <c r="E634" s="1">
        <v>192</v>
      </c>
      <c r="F634" s="1">
        <v>50</v>
      </c>
      <c r="G634" s="1" t="s">
        <v>0</v>
      </c>
      <c r="H634" s="1">
        <v>0.26041666666666702</v>
      </c>
      <c r="I634" s="1">
        <v>0.578125</v>
      </c>
      <c r="J634" s="1">
        <v>9</v>
      </c>
      <c r="K634" s="1">
        <v>2015</v>
      </c>
      <c r="L634" s="1">
        <v>0.26041666666666702</v>
      </c>
      <c r="N634" s="1">
        <v>0.26041666666666702</v>
      </c>
      <c r="O634" s="4">
        <f>(N634-N633)/N633</f>
        <v>2.3333333333333379</v>
      </c>
      <c r="P634" s="5">
        <v>42277</v>
      </c>
      <c r="Q634" s="4">
        <v>35</v>
      </c>
      <c r="R634" s="1"/>
    </row>
    <row r="635" spans="1:18" x14ac:dyDescent="0.2">
      <c r="A635" s="3">
        <v>634</v>
      </c>
      <c r="B635" s="2">
        <v>42285</v>
      </c>
      <c r="C635" s="1">
        <v>0.17885490343338101</v>
      </c>
      <c r="D635" s="1">
        <v>0.182045243680477</v>
      </c>
      <c r="E635" s="1">
        <v>192</v>
      </c>
      <c r="F635" s="1">
        <v>111</v>
      </c>
      <c r="G635" s="1" t="s">
        <v>0</v>
      </c>
      <c r="H635" s="1">
        <v>0.578125</v>
      </c>
      <c r="I635" s="1">
        <v>0.90104166666666696</v>
      </c>
      <c r="J635" s="1">
        <v>10</v>
      </c>
      <c r="K635" s="1">
        <v>2015</v>
      </c>
      <c r="L635" s="1">
        <v>0.578125</v>
      </c>
      <c r="N635" s="1">
        <v>0.578125</v>
      </c>
      <c r="O635" s="1">
        <f>(N635-N634)/N634</f>
        <v>1.2199999999999971</v>
      </c>
      <c r="P635" s="2">
        <v>42285</v>
      </c>
      <c r="Q635" s="1">
        <v>36</v>
      </c>
      <c r="R635" s="1"/>
    </row>
    <row r="636" spans="1:18" x14ac:dyDescent="0.2">
      <c r="A636" s="3">
        <v>635</v>
      </c>
      <c r="B636" s="2">
        <v>42293</v>
      </c>
      <c r="C636" s="1">
        <v>0.13199266676719401</v>
      </c>
      <c r="D636" s="1" t="s">
        <v>0</v>
      </c>
      <c r="E636" s="1">
        <v>192</v>
      </c>
      <c r="F636" s="1">
        <v>173</v>
      </c>
      <c r="G636" s="1" t="s">
        <v>0</v>
      </c>
      <c r="H636" s="1">
        <v>0.90104166666666696</v>
      </c>
      <c r="I636" s="1">
        <v>1</v>
      </c>
      <c r="J636" s="1">
        <v>10</v>
      </c>
      <c r="K636" s="1">
        <v>2015</v>
      </c>
      <c r="L636" s="1">
        <v>0.90104166666666696</v>
      </c>
      <c r="N636" s="1">
        <v>0.90104166666666696</v>
      </c>
      <c r="O636" s="1">
        <f>(N636-N635)/N635</f>
        <v>0.55855855855855907</v>
      </c>
      <c r="P636" s="2">
        <v>42293</v>
      </c>
      <c r="Q636" s="1">
        <v>37</v>
      </c>
      <c r="R636" s="1"/>
    </row>
    <row r="637" spans="1:18" x14ac:dyDescent="0.2">
      <c r="A637" s="3">
        <v>636</v>
      </c>
      <c r="B637" s="2">
        <v>42301</v>
      </c>
      <c r="C637" s="1">
        <v>0.103839307313874</v>
      </c>
      <c r="D637" s="1" t="s">
        <v>0</v>
      </c>
      <c r="E637" s="1">
        <v>192</v>
      </c>
      <c r="F637" s="1">
        <v>192</v>
      </c>
      <c r="G637" s="1" t="s">
        <v>0</v>
      </c>
      <c r="H637" s="1">
        <v>1</v>
      </c>
      <c r="I637" s="1">
        <v>1</v>
      </c>
      <c r="J637" s="1">
        <v>10</v>
      </c>
      <c r="K637" s="1">
        <v>2015</v>
      </c>
      <c r="L637" s="1">
        <v>1</v>
      </c>
      <c r="N637" s="1">
        <v>1</v>
      </c>
      <c r="O637" s="1">
        <f>(N637-N636)/N636</f>
        <v>0.10982658959537536</v>
      </c>
      <c r="P637" s="2">
        <v>42301</v>
      </c>
      <c r="Q637" s="1">
        <v>38</v>
      </c>
      <c r="R637" s="1"/>
    </row>
    <row r="638" spans="1:18" x14ac:dyDescent="0.2">
      <c r="A638" s="3">
        <v>637</v>
      </c>
      <c r="B638" s="2">
        <v>42309</v>
      </c>
      <c r="C638" s="1">
        <v>0.110171640928117</v>
      </c>
      <c r="D638" s="1">
        <v>0.116408047576745</v>
      </c>
      <c r="E638" s="1">
        <v>192</v>
      </c>
      <c r="F638" s="1">
        <v>192</v>
      </c>
      <c r="G638" s="1" t="s">
        <v>0</v>
      </c>
      <c r="H638" s="1">
        <v>1</v>
      </c>
      <c r="I638" s="1">
        <v>0.97307485191168597</v>
      </c>
      <c r="J638" s="1">
        <v>11</v>
      </c>
      <c r="K638" s="1">
        <v>2015</v>
      </c>
      <c r="L638" s="1">
        <v>1</v>
      </c>
      <c r="N638" s="1">
        <v>1</v>
      </c>
      <c r="O638" s="1">
        <f>(N638-N637)/N637</f>
        <v>0</v>
      </c>
      <c r="P638" s="2">
        <v>42309</v>
      </c>
      <c r="Q638" s="1">
        <v>39</v>
      </c>
      <c r="R638" s="1"/>
    </row>
    <row r="639" spans="1:18" x14ac:dyDescent="0.2">
      <c r="A639" s="3">
        <v>638</v>
      </c>
      <c r="B639" s="2">
        <v>42317</v>
      </c>
      <c r="C639" s="1">
        <v>0.10778540191758</v>
      </c>
      <c r="D639" s="1">
        <v>0.109908074140549</v>
      </c>
      <c r="E639" s="1">
        <v>185.7</v>
      </c>
      <c r="F639" s="1">
        <v>180.7</v>
      </c>
      <c r="G639" s="1" t="s">
        <v>0</v>
      </c>
      <c r="H639" s="1">
        <v>0.97307485191168597</v>
      </c>
      <c r="I639" s="1">
        <v>0.66666666666666696</v>
      </c>
      <c r="J639" s="1">
        <v>11</v>
      </c>
      <c r="K639" s="1">
        <v>2015</v>
      </c>
      <c r="L639" s="1">
        <v>0.97307485191168597</v>
      </c>
      <c r="N639" s="1">
        <v>0.97307485191168597</v>
      </c>
      <c r="O639" s="1">
        <f>(N639-N638)/N638</f>
        <v>-2.6925148088314033E-2</v>
      </c>
      <c r="P639" s="5">
        <v>42317</v>
      </c>
      <c r="Q639" s="4">
        <v>40</v>
      </c>
      <c r="R639" s="1"/>
    </row>
    <row r="640" spans="1:18" x14ac:dyDescent="0.2">
      <c r="A640" s="3">
        <v>639</v>
      </c>
      <c r="B640" s="2">
        <v>42325</v>
      </c>
      <c r="C640" s="1">
        <v>8.9044867828488306E-2</v>
      </c>
      <c r="D640" s="1">
        <v>8.2202501595020294E-2</v>
      </c>
      <c r="E640" s="1">
        <v>192</v>
      </c>
      <c r="F640" s="1">
        <v>128</v>
      </c>
      <c r="G640" s="1" t="s">
        <v>0</v>
      </c>
      <c r="H640" s="1">
        <v>0.66666666666666696</v>
      </c>
      <c r="I640" s="1">
        <v>0.75520833333333304</v>
      </c>
      <c r="J640" s="1">
        <v>11</v>
      </c>
      <c r="K640" s="1">
        <v>2015</v>
      </c>
      <c r="L640" s="1"/>
      <c r="M640" s="1">
        <v>0.66666666666666696</v>
      </c>
      <c r="N640" s="1">
        <v>0.66666666666666696</v>
      </c>
      <c r="O640" s="4">
        <f>(N640-N639)/N639</f>
        <v>-0.31488655229662427</v>
      </c>
      <c r="P640" s="2">
        <v>42325</v>
      </c>
      <c r="Q640" s="1">
        <v>41</v>
      </c>
      <c r="R640" s="1"/>
    </row>
    <row r="641" spans="1:18" x14ac:dyDescent="0.2">
      <c r="A641" s="3">
        <v>640</v>
      </c>
      <c r="B641" s="2">
        <v>42333</v>
      </c>
      <c r="C641" s="1">
        <v>9.3530754622531298E-2</v>
      </c>
      <c r="D641" s="1">
        <v>8.3749227225780501E-2</v>
      </c>
      <c r="E641" s="1">
        <v>192</v>
      </c>
      <c r="F641" s="1">
        <v>145</v>
      </c>
      <c r="G641" s="1" t="s">
        <v>0</v>
      </c>
      <c r="H641" s="1">
        <v>0.75520833333333304</v>
      </c>
      <c r="I641" s="1">
        <v>0.65625</v>
      </c>
      <c r="J641" s="1">
        <v>11</v>
      </c>
      <c r="K641" s="1">
        <v>2015</v>
      </c>
      <c r="L641" s="1"/>
      <c r="M641" s="1">
        <v>0.75520833333333304</v>
      </c>
      <c r="N641" s="1">
        <v>0.75520833333333304</v>
      </c>
      <c r="O641" s="1">
        <f>(N641-N640)/N640</f>
        <v>0.13281249999999906</v>
      </c>
      <c r="P641" s="2">
        <v>42333</v>
      </c>
      <c r="Q641" s="1">
        <v>42</v>
      </c>
      <c r="R641" s="1"/>
    </row>
    <row r="642" spans="1:18" x14ac:dyDescent="0.2">
      <c r="A642" s="3">
        <v>641</v>
      </c>
      <c r="B642" s="2">
        <v>42341</v>
      </c>
      <c r="C642" s="1">
        <v>8.4216873618689403E-2</v>
      </c>
      <c r="D642" s="1">
        <v>9.7286419322093295E-2</v>
      </c>
      <c r="E642" s="1">
        <v>192</v>
      </c>
      <c r="F642" s="1">
        <v>126</v>
      </c>
      <c r="G642" s="1" t="s">
        <v>0</v>
      </c>
      <c r="H642" s="1">
        <v>0.65625</v>
      </c>
      <c r="I642" s="1">
        <v>0.44791666666666702</v>
      </c>
      <c r="J642" s="1">
        <v>12</v>
      </c>
      <c r="K642" s="1">
        <v>2015</v>
      </c>
      <c r="L642" s="1"/>
      <c r="M642" s="1">
        <v>0.65625</v>
      </c>
      <c r="N642" s="1">
        <v>0.65625</v>
      </c>
      <c r="O642" s="1">
        <f>(N642-N641)/N641</f>
        <v>-0.13103448275862034</v>
      </c>
      <c r="P642" s="2">
        <v>42341</v>
      </c>
      <c r="Q642" s="1">
        <v>43</v>
      </c>
      <c r="R642" s="1"/>
    </row>
    <row r="643" spans="1:18" x14ac:dyDescent="0.2">
      <c r="A643" s="3">
        <v>642</v>
      </c>
      <c r="B643" s="5">
        <v>42349</v>
      </c>
      <c r="C643" s="1">
        <v>6.8027783185243607E-2</v>
      </c>
      <c r="D643" s="1" t="s">
        <v>0</v>
      </c>
      <c r="E643" s="1">
        <v>192</v>
      </c>
      <c r="F643" s="1">
        <v>86</v>
      </c>
      <c r="G643" s="1" t="s">
        <v>0</v>
      </c>
      <c r="H643" s="1">
        <v>0.44791666666666702</v>
      </c>
      <c r="I643" s="1">
        <v>5.7925223802001102E-2</v>
      </c>
      <c r="J643" s="1">
        <v>12</v>
      </c>
      <c r="K643" s="1">
        <v>2015</v>
      </c>
      <c r="L643" s="1"/>
      <c r="M643" s="1">
        <v>0.44791666666666702</v>
      </c>
      <c r="N643" s="1">
        <v>0.44791666666666702</v>
      </c>
      <c r="O643" s="1">
        <f>(N643-N642)/N642</f>
        <v>-0.31746031746031694</v>
      </c>
      <c r="P643" s="2">
        <v>42349</v>
      </c>
      <c r="Q643" s="1">
        <v>44</v>
      </c>
      <c r="R643" s="1"/>
    </row>
    <row r="644" spans="1:18" x14ac:dyDescent="0.2">
      <c r="A644" s="3">
        <v>643</v>
      </c>
      <c r="B644" s="2">
        <v>42357</v>
      </c>
      <c r="C644" s="1" t="s">
        <v>0</v>
      </c>
      <c r="D644" s="1" t="s">
        <v>0</v>
      </c>
      <c r="E644" s="1">
        <v>189.9</v>
      </c>
      <c r="F644" s="1">
        <v>11</v>
      </c>
      <c r="G644" s="1" t="s">
        <v>0</v>
      </c>
      <c r="H644" s="1">
        <v>5.7925223802001102E-2</v>
      </c>
      <c r="I644" s="1">
        <v>1.6666666666666701E-2</v>
      </c>
      <c r="J644" s="1">
        <v>12</v>
      </c>
      <c r="K644" s="1">
        <v>2015</v>
      </c>
      <c r="L644" s="1"/>
      <c r="M644" s="1">
        <v>5.7925223802001102E-2</v>
      </c>
      <c r="N644" s="1">
        <v>5.7925223802001102E-2</v>
      </c>
      <c r="O644" s="1">
        <f>(N644-N643)/N643</f>
        <v>-0.87067857011646277</v>
      </c>
      <c r="P644" s="2">
        <v>42357</v>
      </c>
      <c r="Q644" s="1">
        <v>45</v>
      </c>
      <c r="R644" s="1"/>
    </row>
    <row r="645" spans="1:18" x14ac:dyDescent="0.2">
      <c r="A645" s="3">
        <v>644</v>
      </c>
      <c r="B645" s="2">
        <v>42365</v>
      </c>
      <c r="C645" s="1" t="s">
        <v>0</v>
      </c>
      <c r="D645" s="1" t="s">
        <v>0</v>
      </c>
      <c r="E645" s="1">
        <v>120</v>
      </c>
      <c r="F645" s="1">
        <v>2</v>
      </c>
      <c r="G645" s="1" t="s">
        <v>0</v>
      </c>
      <c r="H645" s="1">
        <v>1.6666666666666701E-2</v>
      </c>
      <c r="I645" s="1">
        <v>2.0833333333333301E-2</v>
      </c>
      <c r="J645" s="1">
        <v>12</v>
      </c>
      <c r="K645" s="1">
        <v>2015</v>
      </c>
      <c r="L645" s="1"/>
      <c r="M645" s="1">
        <v>1.6666666666666701E-2</v>
      </c>
      <c r="N645" s="1">
        <v>1.6666666666666701E-2</v>
      </c>
      <c r="O645" s="1">
        <f>(N645-N644)/N644</f>
        <v>-0.71227272727272684</v>
      </c>
      <c r="P645" s="2">
        <v>42365</v>
      </c>
      <c r="Q645" s="1">
        <v>46</v>
      </c>
      <c r="R645" s="1"/>
    </row>
    <row r="646" spans="1:18" x14ac:dyDescent="0.2">
      <c r="A646" s="3">
        <v>645</v>
      </c>
      <c r="B646" s="2">
        <v>42370</v>
      </c>
      <c r="C646" s="1">
        <v>5.94108879566193E-2</v>
      </c>
      <c r="D646" s="1">
        <v>5.5003163218498199E-2</v>
      </c>
      <c r="E646" s="1">
        <v>192</v>
      </c>
      <c r="F646" s="1">
        <v>4</v>
      </c>
      <c r="G646" s="1" t="s">
        <v>0</v>
      </c>
      <c r="H646" s="1">
        <v>2.0833333333333301E-2</v>
      </c>
      <c r="I646" s="1">
        <v>0</v>
      </c>
      <c r="J646" s="1">
        <v>1</v>
      </c>
      <c r="K646" s="1">
        <v>2016</v>
      </c>
      <c r="L646" s="1"/>
      <c r="M646" s="1">
        <v>2.0833333333333301E-2</v>
      </c>
      <c r="N646" s="1">
        <v>2.0833333333333301E-2</v>
      </c>
      <c r="O646" s="1">
        <f>(N646-N645)/N645</f>
        <v>0.24999999999999548</v>
      </c>
      <c r="P646" s="2">
        <v>42370</v>
      </c>
      <c r="Q646" s="1">
        <v>1</v>
      </c>
      <c r="R646" s="1"/>
    </row>
    <row r="647" spans="1:18" x14ac:dyDescent="0.2">
      <c r="A647" s="3">
        <v>646</v>
      </c>
      <c r="B647" s="2">
        <v>42378</v>
      </c>
      <c r="C647" s="1">
        <v>6.4172319962944799E-2</v>
      </c>
      <c r="D647" s="1">
        <v>6.4700541396935804E-2</v>
      </c>
      <c r="E647" s="1">
        <v>191.9</v>
      </c>
      <c r="F647" s="1">
        <v>0</v>
      </c>
      <c r="G647" s="1" t="s">
        <v>0</v>
      </c>
      <c r="H647" s="1">
        <v>0</v>
      </c>
      <c r="I647" s="1">
        <v>2.6041666666666699E-2</v>
      </c>
      <c r="J647" s="1">
        <v>1</v>
      </c>
      <c r="K647" s="1">
        <v>2016</v>
      </c>
      <c r="L647" s="1"/>
      <c r="M647" s="1">
        <v>1E-3</v>
      </c>
      <c r="N647" s="1">
        <v>1E-3</v>
      </c>
      <c r="O647" s="1">
        <f>(N647-N646)/N646</f>
        <v>-0.95199999999999985</v>
      </c>
      <c r="P647" s="2">
        <v>42378</v>
      </c>
      <c r="Q647" s="1">
        <v>2</v>
      </c>
      <c r="R647" s="1"/>
    </row>
    <row r="648" spans="1:18" x14ac:dyDescent="0.2">
      <c r="A648" s="3">
        <v>647</v>
      </c>
      <c r="B648" s="2">
        <v>42386</v>
      </c>
      <c r="C648" s="1">
        <v>9.1687915846705395E-2</v>
      </c>
      <c r="D648" s="1">
        <v>9.2400486767291998E-2</v>
      </c>
      <c r="E648" s="1">
        <v>192</v>
      </c>
      <c r="F648" s="1">
        <v>5</v>
      </c>
      <c r="G648" s="1" t="s">
        <v>0</v>
      </c>
      <c r="H648" s="1">
        <v>2.6041666666666699E-2</v>
      </c>
      <c r="I648" s="1">
        <v>0</v>
      </c>
      <c r="J648" s="1">
        <v>1</v>
      </c>
      <c r="K648" s="1">
        <v>2016</v>
      </c>
      <c r="L648" s="1"/>
      <c r="M648" s="1">
        <v>2.6041666666666699E-2</v>
      </c>
      <c r="N648" s="1">
        <v>2.6041666666666699E-2</v>
      </c>
      <c r="O648" s="1">
        <f>(N648-N647)/N647</f>
        <v>25.041666666666696</v>
      </c>
      <c r="P648" s="2">
        <v>42386</v>
      </c>
      <c r="Q648" s="1">
        <v>3</v>
      </c>
      <c r="R648" s="1"/>
    </row>
    <row r="649" spans="1:18" x14ac:dyDescent="0.2">
      <c r="A649" s="3">
        <v>648</v>
      </c>
      <c r="B649" s="2">
        <v>42394</v>
      </c>
      <c r="C649" s="1">
        <v>7.5468947998050498E-2</v>
      </c>
      <c r="D649" s="1">
        <v>8.0165820817152705E-2</v>
      </c>
      <c r="E649" s="1">
        <v>192</v>
      </c>
      <c r="F649" s="1">
        <v>0</v>
      </c>
      <c r="G649" s="1" t="s">
        <v>0</v>
      </c>
      <c r="H649" s="1">
        <v>0</v>
      </c>
      <c r="I649" s="1">
        <v>1.0416666666666701E-2</v>
      </c>
      <c r="J649" s="1">
        <v>1</v>
      </c>
      <c r="K649" s="1">
        <v>2016</v>
      </c>
      <c r="L649" s="1"/>
      <c r="M649" s="1">
        <v>1E-3</v>
      </c>
      <c r="N649" s="1">
        <v>1E-3</v>
      </c>
      <c r="O649" s="1">
        <f>(N649-N648)/N648</f>
        <v>-0.96160000000000001</v>
      </c>
      <c r="P649" s="2">
        <v>42394</v>
      </c>
      <c r="Q649" s="1">
        <v>4</v>
      </c>
      <c r="R649" s="1"/>
    </row>
    <row r="650" spans="1:18" x14ac:dyDescent="0.2">
      <c r="A650" s="3">
        <v>649</v>
      </c>
      <c r="B650" s="2">
        <v>42402</v>
      </c>
      <c r="C650" s="1">
        <v>8.3312682458199602E-2</v>
      </c>
      <c r="D650" s="1" t="s">
        <v>0</v>
      </c>
      <c r="E650" s="1">
        <v>192</v>
      </c>
      <c r="F650" s="1">
        <v>2</v>
      </c>
      <c r="G650" s="1" t="s">
        <v>0</v>
      </c>
      <c r="H650" s="1">
        <v>1.0416666666666701E-2</v>
      </c>
      <c r="I650" s="1">
        <v>0</v>
      </c>
      <c r="J650" s="1">
        <v>2</v>
      </c>
      <c r="K650" s="1">
        <v>2016</v>
      </c>
      <c r="L650" s="1"/>
      <c r="M650" s="1">
        <v>1.0416666666666701E-2</v>
      </c>
      <c r="N650" s="1">
        <v>1.0416666666666701E-2</v>
      </c>
      <c r="O650" s="1">
        <f>(N650-N649)/N649</f>
        <v>9.4166666666667016</v>
      </c>
      <c r="P650" s="2">
        <v>42402</v>
      </c>
      <c r="Q650" s="1">
        <v>5</v>
      </c>
      <c r="R650" s="1"/>
    </row>
    <row r="651" spans="1:18" x14ac:dyDescent="0.2">
      <c r="A651" s="3">
        <v>650</v>
      </c>
      <c r="B651" s="2">
        <v>42410</v>
      </c>
      <c r="C651" s="1">
        <v>6.1524183385902001E-2</v>
      </c>
      <c r="D651" s="1" t="s">
        <v>0</v>
      </c>
      <c r="E651" s="1">
        <v>192</v>
      </c>
      <c r="F651" s="1">
        <v>0</v>
      </c>
      <c r="G651" s="1" t="s">
        <v>0</v>
      </c>
      <c r="H651" s="1">
        <v>0</v>
      </c>
      <c r="I651" s="1">
        <v>0</v>
      </c>
      <c r="J651" s="1">
        <v>2</v>
      </c>
      <c r="K651" s="1">
        <v>2016</v>
      </c>
      <c r="L651" s="1"/>
      <c r="M651" s="1">
        <v>1E-3</v>
      </c>
      <c r="N651" s="1">
        <v>1E-3</v>
      </c>
      <c r="O651" s="1">
        <f>(N651-N650)/N650</f>
        <v>-0.90400000000000036</v>
      </c>
      <c r="P651" s="2">
        <v>42410</v>
      </c>
      <c r="Q651" s="1">
        <v>6</v>
      </c>
      <c r="R651" s="1"/>
    </row>
    <row r="652" spans="1:18" x14ac:dyDescent="0.2">
      <c r="A652" s="3">
        <v>651</v>
      </c>
      <c r="B652" s="2">
        <v>42418</v>
      </c>
      <c r="C652" s="1">
        <v>7.7512240743044705E-2</v>
      </c>
      <c r="D652" s="1">
        <v>8.0693085988362598E-2</v>
      </c>
      <c r="E652" s="1">
        <v>192</v>
      </c>
      <c r="F652" s="1">
        <v>0</v>
      </c>
      <c r="G652" s="1" t="s">
        <v>0</v>
      </c>
      <c r="H652" s="1">
        <v>0</v>
      </c>
      <c r="I652" s="1">
        <v>0</v>
      </c>
      <c r="J652" s="1">
        <v>2</v>
      </c>
      <c r="K652" s="1">
        <v>2016</v>
      </c>
      <c r="L652" s="1"/>
      <c r="M652" s="1">
        <v>1E-3</v>
      </c>
      <c r="N652" s="1">
        <v>1E-3</v>
      </c>
      <c r="O652" s="1">
        <f>(N652-N651)/N651</f>
        <v>0</v>
      </c>
      <c r="P652" s="2">
        <v>42418</v>
      </c>
      <c r="Q652" s="1">
        <v>7</v>
      </c>
      <c r="R652" s="1"/>
    </row>
    <row r="653" spans="1:18" x14ac:dyDescent="0.2">
      <c r="A653" s="3">
        <v>652</v>
      </c>
      <c r="B653" s="2">
        <v>42426</v>
      </c>
      <c r="C653" s="1">
        <v>7.3589971301884494E-2</v>
      </c>
      <c r="D653" s="1">
        <v>7.6881963759660693E-2</v>
      </c>
      <c r="E653" s="1">
        <v>192</v>
      </c>
      <c r="F653" s="1">
        <v>0</v>
      </c>
      <c r="G653" s="1" t="s">
        <v>0</v>
      </c>
      <c r="H653" s="1">
        <v>0</v>
      </c>
      <c r="I653" s="1">
        <v>0</v>
      </c>
      <c r="J653" s="1">
        <v>2</v>
      </c>
      <c r="K653" s="1">
        <v>2016</v>
      </c>
      <c r="L653" s="1"/>
      <c r="M653" s="1">
        <v>1E-3</v>
      </c>
      <c r="N653" s="1">
        <v>1E-3</v>
      </c>
      <c r="O653" s="1">
        <f>(N653-N652)/N652</f>
        <v>0</v>
      </c>
      <c r="P653" s="2">
        <v>42426</v>
      </c>
      <c r="Q653" s="1">
        <v>8</v>
      </c>
      <c r="R653" s="1"/>
    </row>
    <row r="654" spans="1:18" x14ac:dyDescent="0.2">
      <c r="A654" s="3">
        <v>653</v>
      </c>
      <c r="B654" s="2">
        <v>42434</v>
      </c>
      <c r="C654" s="1">
        <v>7.0240879078974597E-2</v>
      </c>
      <c r="D654" s="1" t="s">
        <v>0</v>
      </c>
      <c r="E654" s="1">
        <v>192</v>
      </c>
      <c r="F654" s="1">
        <v>0</v>
      </c>
      <c r="G654" s="1" t="s">
        <v>0</v>
      </c>
      <c r="H654" s="1">
        <v>0</v>
      </c>
      <c r="I654" s="1">
        <v>0</v>
      </c>
      <c r="J654" s="1">
        <v>3</v>
      </c>
      <c r="K654" s="1">
        <v>2016</v>
      </c>
      <c r="L654" s="1"/>
      <c r="M654" s="1">
        <v>1E-3</v>
      </c>
      <c r="N654" s="1">
        <v>1E-3</v>
      </c>
      <c r="O654" s="1">
        <f>(N654-N653)/N653</f>
        <v>0</v>
      </c>
      <c r="P654" s="2">
        <v>42434</v>
      </c>
      <c r="Q654" s="1">
        <v>9</v>
      </c>
      <c r="R654" s="1"/>
    </row>
    <row r="655" spans="1:18" x14ac:dyDescent="0.2">
      <c r="A655" s="3">
        <v>654</v>
      </c>
      <c r="B655" s="2">
        <v>42442</v>
      </c>
      <c r="C655" s="1">
        <v>6.9396872345994204E-2</v>
      </c>
      <c r="D655" s="1">
        <v>6.6378644978006704E-2</v>
      </c>
      <c r="E655" s="1">
        <v>192</v>
      </c>
      <c r="F655" s="1">
        <v>0</v>
      </c>
      <c r="G655" s="1" t="s">
        <v>0</v>
      </c>
      <c r="H655" s="1">
        <v>0</v>
      </c>
      <c r="I655" s="1">
        <v>0</v>
      </c>
      <c r="J655" s="1">
        <v>3</v>
      </c>
      <c r="K655" s="1">
        <v>2016</v>
      </c>
      <c r="L655" s="1"/>
      <c r="M655" s="1">
        <v>1E-3</v>
      </c>
      <c r="N655" s="1">
        <v>1E-3</v>
      </c>
      <c r="O655" s="1">
        <f>(N655-N654)/N654</f>
        <v>0</v>
      </c>
      <c r="P655" s="2">
        <v>42442</v>
      </c>
      <c r="Q655" s="1">
        <v>10</v>
      </c>
      <c r="R655" s="1"/>
    </row>
    <row r="656" spans="1:18" x14ac:dyDescent="0.2">
      <c r="A656" s="3">
        <v>655</v>
      </c>
      <c r="B656" s="2">
        <v>42450</v>
      </c>
      <c r="C656" s="1">
        <v>7.5133597056071005E-2</v>
      </c>
      <c r="D656" s="1">
        <v>7.1561623364686994E-2</v>
      </c>
      <c r="E656" s="1">
        <v>192</v>
      </c>
      <c r="F656" s="1">
        <v>0</v>
      </c>
      <c r="G656" s="1" t="s">
        <v>0</v>
      </c>
      <c r="H656" s="1">
        <v>0</v>
      </c>
      <c r="I656" s="1">
        <v>0</v>
      </c>
      <c r="J656" s="1">
        <v>3</v>
      </c>
      <c r="K656" s="1">
        <v>2016</v>
      </c>
      <c r="L656" s="1"/>
      <c r="M656" s="1">
        <v>1E-3</v>
      </c>
      <c r="N656" s="1">
        <v>1E-3</v>
      </c>
      <c r="O656" s="1">
        <f>(N656-N655)/N655</f>
        <v>0</v>
      </c>
      <c r="P656" s="2">
        <v>42450</v>
      </c>
      <c r="Q656" s="1">
        <v>11</v>
      </c>
      <c r="R656" s="1"/>
    </row>
    <row r="657" spans="1:18" x14ac:dyDescent="0.2">
      <c r="A657" s="3">
        <v>656</v>
      </c>
      <c r="B657" s="2">
        <v>42458</v>
      </c>
      <c r="C657" s="1">
        <v>7.9547419950917894E-2</v>
      </c>
      <c r="D657" s="1">
        <v>8.3400992055733994E-2</v>
      </c>
      <c r="E657" s="1">
        <v>192</v>
      </c>
      <c r="F657" s="1">
        <v>0</v>
      </c>
      <c r="G657" s="1" t="s">
        <v>0</v>
      </c>
      <c r="H657" s="1">
        <v>0</v>
      </c>
      <c r="I657" s="1">
        <v>0</v>
      </c>
      <c r="J657" s="1">
        <v>3</v>
      </c>
      <c r="K657" s="1">
        <v>2016</v>
      </c>
      <c r="L657" s="1"/>
      <c r="M657" s="1">
        <v>1E-3</v>
      </c>
      <c r="N657" s="1">
        <v>1E-3</v>
      </c>
      <c r="O657" s="1">
        <f>(N657-N656)/N656</f>
        <v>0</v>
      </c>
      <c r="P657" s="2">
        <v>42458</v>
      </c>
      <c r="Q657" s="1">
        <v>12</v>
      </c>
      <c r="R657" s="1"/>
    </row>
    <row r="658" spans="1:18" x14ac:dyDescent="0.2">
      <c r="A658" s="3">
        <v>657</v>
      </c>
      <c r="B658" s="2">
        <v>42466</v>
      </c>
      <c r="C658" s="1">
        <v>7.3041531346636296E-2</v>
      </c>
      <c r="D658" s="1">
        <v>7.9079508781433105E-2</v>
      </c>
      <c r="E658" s="1">
        <v>192</v>
      </c>
      <c r="F658" s="1">
        <v>0</v>
      </c>
      <c r="G658" s="1" t="s">
        <v>0</v>
      </c>
      <c r="H658" s="1">
        <v>0</v>
      </c>
      <c r="I658" s="1">
        <v>0</v>
      </c>
      <c r="J658" s="1">
        <v>4</v>
      </c>
      <c r="K658" s="1">
        <v>2016</v>
      </c>
      <c r="L658" s="1"/>
      <c r="M658" s="1">
        <v>1E-3</v>
      </c>
      <c r="N658" s="1">
        <v>1E-3</v>
      </c>
      <c r="O658" s="1">
        <f>(N658-N657)/N657</f>
        <v>0</v>
      </c>
      <c r="P658" s="2">
        <v>42466</v>
      </c>
      <c r="Q658" s="1">
        <v>13</v>
      </c>
      <c r="R658" s="1"/>
    </row>
    <row r="659" spans="1:18" x14ac:dyDescent="0.2">
      <c r="A659" s="3">
        <v>658</v>
      </c>
      <c r="B659" s="2">
        <v>42474</v>
      </c>
      <c r="C659" s="1">
        <v>7.8007266749269694E-2</v>
      </c>
      <c r="D659" s="1">
        <v>7.2692515949408204E-2</v>
      </c>
      <c r="E659" s="1">
        <v>191.9</v>
      </c>
      <c r="F659" s="1">
        <v>0</v>
      </c>
      <c r="G659" s="1" t="s">
        <v>0</v>
      </c>
      <c r="H659" s="1">
        <v>0</v>
      </c>
      <c r="I659" s="1">
        <v>5.2083333333333296E-3</v>
      </c>
      <c r="J659" s="1">
        <v>4</v>
      </c>
      <c r="K659" s="1">
        <v>2016</v>
      </c>
      <c r="L659" s="1"/>
      <c r="M659" s="1">
        <v>1E-3</v>
      </c>
      <c r="N659" s="1">
        <v>1E-3</v>
      </c>
      <c r="O659" s="1">
        <f>(N659-N658)/N658</f>
        <v>0</v>
      </c>
      <c r="P659" s="2">
        <v>42474</v>
      </c>
      <c r="Q659" s="1">
        <v>14</v>
      </c>
      <c r="R659" s="1"/>
    </row>
    <row r="660" spans="1:18" x14ac:dyDescent="0.2">
      <c r="A660" s="3">
        <v>659</v>
      </c>
      <c r="B660" s="2">
        <v>42482</v>
      </c>
      <c r="C660" s="1">
        <v>7.8157078707590699E-2</v>
      </c>
      <c r="D660" s="1">
        <v>6.6922026686370401E-2</v>
      </c>
      <c r="E660" s="1">
        <v>192</v>
      </c>
      <c r="F660" s="1">
        <v>1</v>
      </c>
      <c r="G660" s="1" t="s">
        <v>0</v>
      </c>
      <c r="H660" s="1">
        <v>5.2083333333333296E-3</v>
      </c>
      <c r="I660" s="1">
        <v>0</v>
      </c>
      <c r="J660" s="1">
        <v>4</v>
      </c>
      <c r="K660" s="1">
        <v>2016</v>
      </c>
      <c r="L660" s="1"/>
      <c r="M660" s="1">
        <v>5.2083333333333296E-3</v>
      </c>
      <c r="N660" s="1">
        <v>5.2083333333333296E-3</v>
      </c>
      <c r="O660" s="1">
        <f>(N660-N659)/N659</f>
        <v>4.2083333333333295</v>
      </c>
      <c r="P660" s="2">
        <v>42482</v>
      </c>
      <c r="Q660" s="1">
        <v>15</v>
      </c>
      <c r="R660" s="1"/>
    </row>
    <row r="661" spans="1:18" x14ac:dyDescent="0.2">
      <c r="A661" s="3">
        <v>660</v>
      </c>
      <c r="B661" s="2">
        <v>42490</v>
      </c>
      <c r="C661" s="1">
        <v>7.0657223417628104E-2</v>
      </c>
      <c r="D661" s="1">
        <v>6.5327655524015399E-2</v>
      </c>
      <c r="E661" s="1">
        <v>192</v>
      </c>
      <c r="F661" s="1">
        <v>0</v>
      </c>
      <c r="G661" s="1" t="s">
        <v>0</v>
      </c>
      <c r="H661" s="1">
        <v>0</v>
      </c>
      <c r="I661" s="1">
        <v>0</v>
      </c>
      <c r="J661" s="1">
        <v>4</v>
      </c>
      <c r="K661" s="1">
        <v>2016</v>
      </c>
      <c r="L661" s="1"/>
      <c r="M661" s="1">
        <v>1E-3</v>
      </c>
      <c r="N661" s="1">
        <v>1E-3</v>
      </c>
      <c r="O661" s="1">
        <f>(N661-N660)/N660</f>
        <v>-0.80799999999999983</v>
      </c>
      <c r="P661" s="2">
        <v>42490</v>
      </c>
      <c r="Q661" s="1">
        <v>16</v>
      </c>
      <c r="R661" s="1"/>
    </row>
    <row r="662" spans="1:18" x14ac:dyDescent="0.2">
      <c r="A662" s="3">
        <v>661</v>
      </c>
      <c r="B662" s="2">
        <v>42498</v>
      </c>
      <c r="C662" s="1">
        <v>8.9798143421246798E-2</v>
      </c>
      <c r="D662" s="1">
        <v>8.7922293692827197E-2</v>
      </c>
      <c r="E662" s="1">
        <v>192</v>
      </c>
      <c r="F662" s="1">
        <v>0</v>
      </c>
      <c r="G662" s="1" t="s">
        <v>0</v>
      </c>
      <c r="H662" s="1">
        <v>0</v>
      </c>
      <c r="I662" s="1">
        <v>0</v>
      </c>
      <c r="J662" s="1">
        <v>5</v>
      </c>
      <c r="K662" s="1">
        <v>2016</v>
      </c>
      <c r="L662" s="1"/>
      <c r="M662" s="1">
        <v>1E-3</v>
      </c>
      <c r="N662" s="1">
        <v>1E-3</v>
      </c>
      <c r="O662" s="1">
        <f>(N662-N661)/N661</f>
        <v>0</v>
      </c>
      <c r="P662" s="2">
        <v>42498</v>
      </c>
      <c r="Q662" s="1">
        <v>17</v>
      </c>
      <c r="R662" s="1"/>
    </row>
    <row r="663" spans="1:18" x14ac:dyDescent="0.2">
      <c r="A663" s="3">
        <v>662</v>
      </c>
      <c r="B663" s="2">
        <v>42506</v>
      </c>
      <c r="C663" s="1">
        <v>8.2811212053567895E-2</v>
      </c>
      <c r="D663" s="1">
        <v>7.7846405406792996E-2</v>
      </c>
      <c r="E663" s="1">
        <v>191.9</v>
      </c>
      <c r="F663" s="1">
        <v>0</v>
      </c>
      <c r="G663" s="1" t="s">
        <v>0</v>
      </c>
      <c r="H663" s="1">
        <v>0</v>
      </c>
      <c r="I663" s="1">
        <v>0</v>
      </c>
      <c r="J663" s="1">
        <v>5</v>
      </c>
      <c r="K663" s="1">
        <v>2016</v>
      </c>
      <c r="L663" s="1"/>
      <c r="M663" s="1">
        <v>1E-3</v>
      </c>
      <c r="N663" s="1">
        <v>1E-3</v>
      </c>
      <c r="O663" s="1">
        <f>(N663-N662)/N662</f>
        <v>0</v>
      </c>
      <c r="P663" s="2">
        <v>42506</v>
      </c>
      <c r="Q663" s="1">
        <v>18</v>
      </c>
      <c r="R663" s="1"/>
    </row>
    <row r="664" spans="1:18" x14ac:dyDescent="0.2">
      <c r="A664" s="3">
        <v>663</v>
      </c>
      <c r="B664" s="2">
        <v>42514</v>
      </c>
      <c r="C664" s="1">
        <v>7.9479247055671803E-2</v>
      </c>
      <c r="D664" s="1">
        <v>8.3741832524537999E-2</v>
      </c>
      <c r="E664" s="1">
        <v>192</v>
      </c>
      <c r="F664" s="1">
        <v>0</v>
      </c>
      <c r="G664" s="1" t="s">
        <v>0</v>
      </c>
      <c r="H664" s="1">
        <v>0</v>
      </c>
      <c r="I664" s="1">
        <v>1.5625E-2</v>
      </c>
      <c r="J664" s="1">
        <v>5</v>
      </c>
      <c r="K664" s="1">
        <v>2016</v>
      </c>
      <c r="L664" s="1"/>
      <c r="M664" s="1">
        <v>1E-3</v>
      </c>
      <c r="N664" s="1">
        <v>1E-3</v>
      </c>
      <c r="O664" s="1">
        <f>(N664-N663)/N663</f>
        <v>0</v>
      </c>
      <c r="P664" s="2">
        <v>42514</v>
      </c>
      <c r="Q664" s="1">
        <v>19</v>
      </c>
      <c r="R664" s="1"/>
    </row>
    <row r="665" spans="1:18" x14ac:dyDescent="0.2">
      <c r="A665" s="3">
        <v>664</v>
      </c>
      <c r="B665" s="2">
        <v>42522</v>
      </c>
      <c r="C665" s="1">
        <v>0.107747586501157</v>
      </c>
      <c r="D665" s="1">
        <v>0.108942540983359</v>
      </c>
      <c r="E665" s="1">
        <v>192</v>
      </c>
      <c r="F665" s="1">
        <v>3</v>
      </c>
      <c r="G665" s="1" t="s">
        <v>0</v>
      </c>
      <c r="H665" s="1">
        <v>1.5625E-2</v>
      </c>
      <c r="I665" s="1">
        <v>5.2083333333333296E-3</v>
      </c>
      <c r="J665" s="1">
        <v>6</v>
      </c>
      <c r="K665" s="1">
        <v>2016</v>
      </c>
      <c r="L665" s="1"/>
      <c r="M665" s="1">
        <v>1.5625E-2</v>
      </c>
      <c r="N665" s="1">
        <v>1.5625E-2</v>
      </c>
      <c r="O665" s="1">
        <f>(N665-N664)/N664</f>
        <v>14.624999999999998</v>
      </c>
      <c r="P665" s="2">
        <v>42522</v>
      </c>
      <c r="Q665" s="1">
        <v>20</v>
      </c>
      <c r="R665" s="1"/>
    </row>
    <row r="666" spans="1:18" x14ac:dyDescent="0.2">
      <c r="A666" s="3">
        <v>665</v>
      </c>
      <c r="B666" s="2">
        <v>42530</v>
      </c>
      <c r="C666" s="1">
        <v>0.122914854233915</v>
      </c>
      <c r="D666" s="1">
        <v>0.111157180120548</v>
      </c>
      <c r="E666" s="1">
        <v>192</v>
      </c>
      <c r="F666" s="1">
        <v>1</v>
      </c>
      <c r="G666" s="1" t="s">
        <v>0</v>
      </c>
      <c r="H666" s="1">
        <v>5.2083333333333296E-3</v>
      </c>
      <c r="I666" s="1">
        <v>0.58333333333333304</v>
      </c>
      <c r="J666" s="1">
        <v>6</v>
      </c>
      <c r="K666" s="1">
        <v>2016</v>
      </c>
      <c r="L666" s="1"/>
      <c r="M666" s="1">
        <v>5.2083333333333296E-3</v>
      </c>
      <c r="N666" s="1">
        <v>5.2083333333333296E-3</v>
      </c>
      <c r="O666" s="1">
        <f>(N666-N665)/N665</f>
        <v>-0.66666666666666696</v>
      </c>
      <c r="P666" s="2">
        <v>42530</v>
      </c>
      <c r="Q666" s="1">
        <v>21</v>
      </c>
      <c r="R666" s="1"/>
    </row>
    <row r="667" spans="1:18" x14ac:dyDescent="0.2">
      <c r="A667" s="3">
        <v>666</v>
      </c>
      <c r="B667" s="5">
        <v>42538</v>
      </c>
      <c r="C667" s="1">
        <v>0.14176710670398299</v>
      </c>
      <c r="D667" s="1">
        <v>0.141422979533672</v>
      </c>
      <c r="E667" s="1">
        <v>192</v>
      </c>
      <c r="F667" s="1">
        <v>112</v>
      </c>
      <c r="G667" s="1" t="s">
        <v>0</v>
      </c>
      <c r="H667" s="1">
        <v>0.58333333333333304</v>
      </c>
      <c r="I667" s="1">
        <v>0.99479166666666696</v>
      </c>
      <c r="J667" s="1">
        <v>6</v>
      </c>
      <c r="K667" s="1">
        <v>2016</v>
      </c>
      <c r="L667" s="1">
        <v>0.58333333333333304</v>
      </c>
      <c r="N667" s="1">
        <v>0.58333333333333304</v>
      </c>
      <c r="O667" s="4">
        <f>(N667-N666)/N666</f>
        <v>111.00000000000001</v>
      </c>
      <c r="P667" s="5">
        <v>42538</v>
      </c>
      <c r="Q667" s="4">
        <v>22</v>
      </c>
      <c r="R667" s="1"/>
    </row>
    <row r="668" spans="1:18" x14ac:dyDescent="0.2">
      <c r="A668" s="3">
        <v>667</v>
      </c>
      <c r="B668" s="2">
        <v>42546</v>
      </c>
      <c r="C668" s="1">
        <v>0.17064313739538201</v>
      </c>
      <c r="D668" s="1">
        <v>0.178302727639675</v>
      </c>
      <c r="E668" s="1">
        <v>192</v>
      </c>
      <c r="F668" s="1">
        <v>191</v>
      </c>
      <c r="G668" s="1" t="s">
        <v>0</v>
      </c>
      <c r="H668" s="1">
        <v>0.99479166666666696</v>
      </c>
      <c r="I668" s="1">
        <v>1</v>
      </c>
      <c r="J668" s="1">
        <v>6</v>
      </c>
      <c r="K668" s="1">
        <v>2016</v>
      </c>
      <c r="L668" s="1">
        <v>0.99479166666666696</v>
      </c>
      <c r="N668" s="1">
        <v>0.99479166666666696</v>
      </c>
      <c r="O668" s="1">
        <f>(N668-N667)/N667</f>
        <v>0.70535714285714424</v>
      </c>
      <c r="P668" s="2">
        <v>42546</v>
      </c>
      <c r="Q668" s="1">
        <v>23</v>
      </c>
      <c r="R668" s="1"/>
    </row>
    <row r="669" spans="1:18" x14ac:dyDescent="0.2">
      <c r="A669" s="3">
        <v>668</v>
      </c>
      <c r="B669" s="2">
        <v>42554</v>
      </c>
      <c r="C669" s="1">
        <v>0.206427473770945</v>
      </c>
      <c r="D669" s="1">
        <v>0.224055362244447</v>
      </c>
      <c r="E669" s="1">
        <v>192</v>
      </c>
      <c r="F669" s="1">
        <v>192</v>
      </c>
      <c r="G669" s="1" t="s">
        <v>0</v>
      </c>
      <c r="H669" s="1">
        <v>1</v>
      </c>
      <c r="I669" s="1">
        <v>1</v>
      </c>
      <c r="J669" s="1">
        <v>7</v>
      </c>
      <c r="K669" s="1">
        <v>2016</v>
      </c>
      <c r="L669" s="1">
        <v>1</v>
      </c>
      <c r="N669" s="1">
        <v>1</v>
      </c>
      <c r="O669" s="1">
        <f>(N669-N668)/N668</f>
        <v>5.2356020942405388E-3</v>
      </c>
      <c r="P669" s="2">
        <v>42554</v>
      </c>
      <c r="Q669" s="1">
        <v>24</v>
      </c>
      <c r="R669" s="1"/>
    </row>
    <row r="670" spans="1:18" x14ac:dyDescent="0.2">
      <c r="A670" s="3">
        <v>669</v>
      </c>
      <c r="B670" s="2">
        <v>42562</v>
      </c>
      <c r="C670" s="1">
        <v>0.20868154764175401</v>
      </c>
      <c r="D670" s="1" t="s">
        <v>0</v>
      </c>
      <c r="E670" s="1">
        <v>192</v>
      </c>
      <c r="F670" s="1">
        <v>192</v>
      </c>
      <c r="G670" s="1" t="s">
        <v>0</v>
      </c>
      <c r="H670" s="1">
        <v>1</v>
      </c>
      <c r="I670" s="1">
        <v>0.75</v>
      </c>
      <c r="J670" s="1">
        <v>7</v>
      </c>
      <c r="K670" s="1">
        <v>2016</v>
      </c>
      <c r="L670" s="1">
        <v>1</v>
      </c>
      <c r="N670" s="1">
        <v>1</v>
      </c>
      <c r="O670" s="1">
        <f>(N670-N669)/N669</f>
        <v>0</v>
      </c>
      <c r="P670" s="2">
        <v>42562</v>
      </c>
      <c r="Q670" s="1">
        <v>25</v>
      </c>
      <c r="R670" s="1"/>
    </row>
    <row r="671" spans="1:18" x14ac:dyDescent="0.2">
      <c r="A671" s="3">
        <v>670</v>
      </c>
      <c r="B671" s="2">
        <v>42570</v>
      </c>
      <c r="C671" s="1">
        <v>0.23475368835386801</v>
      </c>
      <c r="D671" s="1">
        <v>0.30491101741790799</v>
      </c>
      <c r="E671" s="1">
        <v>192</v>
      </c>
      <c r="F671" s="1">
        <v>144</v>
      </c>
      <c r="G671" s="1" t="s">
        <v>0</v>
      </c>
      <c r="H671" s="1">
        <v>0.75</v>
      </c>
      <c r="I671" s="1">
        <v>0.78125</v>
      </c>
      <c r="J671" s="1">
        <v>7</v>
      </c>
      <c r="K671" s="1">
        <v>2016</v>
      </c>
      <c r="L671" s="1">
        <v>0.75</v>
      </c>
      <c r="N671" s="1">
        <v>0.75</v>
      </c>
      <c r="O671" s="1">
        <f>(N671-N670)/N670</f>
        <v>-0.25</v>
      </c>
      <c r="P671" s="2">
        <v>42570</v>
      </c>
      <c r="Q671" s="1">
        <v>26</v>
      </c>
      <c r="R671" s="1"/>
    </row>
    <row r="672" spans="1:18" x14ac:dyDescent="0.2">
      <c r="A672" s="3">
        <v>671</v>
      </c>
      <c r="B672" s="2">
        <v>42578</v>
      </c>
      <c r="C672" s="1">
        <v>0.24041666747620399</v>
      </c>
      <c r="D672" s="1">
        <v>0.286305824915568</v>
      </c>
      <c r="E672" s="1">
        <v>192</v>
      </c>
      <c r="F672" s="1">
        <v>150</v>
      </c>
      <c r="G672" s="1" t="s">
        <v>0</v>
      </c>
      <c r="H672" s="1">
        <v>0.78125</v>
      </c>
      <c r="I672" s="1">
        <v>0.78125</v>
      </c>
      <c r="J672" s="1">
        <v>7</v>
      </c>
      <c r="K672" s="1">
        <v>2016</v>
      </c>
      <c r="L672" s="1">
        <v>0.78125</v>
      </c>
      <c r="N672" s="1">
        <v>0.78125</v>
      </c>
      <c r="O672" s="1">
        <f>(N672-N671)/N671</f>
        <v>4.1666666666666664E-2</v>
      </c>
      <c r="P672" s="2">
        <v>42578</v>
      </c>
      <c r="Q672" s="1">
        <v>27</v>
      </c>
      <c r="R672" s="1"/>
    </row>
    <row r="673" spans="1:18" x14ac:dyDescent="0.2">
      <c r="A673" s="3">
        <v>672</v>
      </c>
      <c r="B673" s="2">
        <v>42586</v>
      </c>
      <c r="C673" s="1">
        <v>0.20617087253115399</v>
      </c>
      <c r="D673" s="1">
        <v>0.201728701591492</v>
      </c>
      <c r="E673" s="1">
        <v>192</v>
      </c>
      <c r="F673" s="1">
        <v>150</v>
      </c>
      <c r="G673" s="1" t="s">
        <v>0</v>
      </c>
      <c r="H673" s="1">
        <v>0.78125</v>
      </c>
      <c r="I673" s="1">
        <v>0.85416666666666696</v>
      </c>
      <c r="J673" s="1">
        <v>8</v>
      </c>
      <c r="K673" s="1">
        <v>2016</v>
      </c>
      <c r="L673" s="1">
        <v>0.78125</v>
      </c>
      <c r="N673" s="1">
        <v>0.78125</v>
      </c>
      <c r="O673" s="1">
        <f>(N673-N672)/N672</f>
        <v>0</v>
      </c>
      <c r="P673" s="2">
        <v>42586</v>
      </c>
      <c r="Q673" s="1">
        <v>28</v>
      </c>
      <c r="R673" s="1"/>
    </row>
    <row r="674" spans="1:18" x14ac:dyDescent="0.2">
      <c r="A674" s="3">
        <v>673</v>
      </c>
      <c r="B674" s="2">
        <v>42594</v>
      </c>
      <c r="C674" s="1">
        <v>0.21505707029034099</v>
      </c>
      <c r="D674" s="1">
        <v>0.25074872672557802</v>
      </c>
      <c r="E674" s="1">
        <v>192</v>
      </c>
      <c r="F674" s="1">
        <v>164</v>
      </c>
      <c r="G674" s="1" t="s">
        <v>0</v>
      </c>
      <c r="H674" s="1">
        <v>0.85416666666666696</v>
      </c>
      <c r="I674" s="1">
        <v>0.984375</v>
      </c>
      <c r="J674" s="1">
        <v>8</v>
      </c>
      <c r="K674" s="1">
        <v>2016</v>
      </c>
      <c r="L674" s="1">
        <v>0.85416666666666696</v>
      </c>
      <c r="N674" s="1">
        <v>0.85416666666666696</v>
      </c>
      <c r="O674" s="1">
        <f>(N674-N673)/N673</f>
        <v>9.3333333333333712E-2</v>
      </c>
      <c r="P674" s="2">
        <v>42594</v>
      </c>
      <c r="Q674" s="1">
        <v>29</v>
      </c>
      <c r="R674" s="1"/>
    </row>
    <row r="675" spans="1:18" x14ac:dyDescent="0.2">
      <c r="A675" s="3">
        <v>674</v>
      </c>
      <c r="B675" s="2">
        <v>42602</v>
      </c>
      <c r="C675" s="1">
        <v>0.175778131399836</v>
      </c>
      <c r="D675" s="1" t="s">
        <v>0</v>
      </c>
      <c r="E675" s="1">
        <v>192</v>
      </c>
      <c r="F675" s="1">
        <v>189</v>
      </c>
      <c r="G675" s="1" t="s">
        <v>0</v>
      </c>
      <c r="H675" s="1">
        <v>0.984375</v>
      </c>
      <c r="I675" s="1">
        <v>0.77083333333333304</v>
      </c>
      <c r="J675" s="1">
        <v>8</v>
      </c>
      <c r="K675" s="1">
        <v>2016</v>
      </c>
      <c r="L675" s="1">
        <v>0.984375</v>
      </c>
      <c r="N675" s="1">
        <v>0.984375</v>
      </c>
      <c r="O675" s="1">
        <f>(N675-N674)/N674</f>
        <v>0.15243902439024351</v>
      </c>
      <c r="P675" s="2">
        <v>42602</v>
      </c>
      <c r="Q675" s="1">
        <v>30</v>
      </c>
      <c r="R675" s="1"/>
    </row>
    <row r="676" spans="1:18" x14ac:dyDescent="0.2">
      <c r="A676" s="3">
        <v>675</v>
      </c>
      <c r="B676" s="2">
        <v>42610</v>
      </c>
      <c r="C676" s="1">
        <v>0.21134985973880499</v>
      </c>
      <c r="D676" s="1">
        <v>0.17704058438539499</v>
      </c>
      <c r="E676" s="1">
        <v>192</v>
      </c>
      <c r="F676" s="1">
        <v>148</v>
      </c>
      <c r="G676" s="1" t="s">
        <v>0</v>
      </c>
      <c r="H676" s="1">
        <v>0.77083333333333304</v>
      </c>
      <c r="I676" s="1">
        <v>0.77604166666666696</v>
      </c>
      <c r="J676" s="1">
        <v>8</v>
      </c>
      <c r="K676" s="1">
        <v>2016</v>
      </c>
      <c r="L676" s="1">
        <v>0.77083333333333304</v>
      </c>
      <c r="N676" s="1">
        <v>0.77083333333333304</v>
      </c>
      <c r="O676" s="1">
        <f>(N676-N675)/N675</f>
        <v>-0.21693121693121722</v>
      </c>
      <c r="P676" s="2">
        <v>42610</v>
      </c>
      <c r="Q676" s="1">
        <v>31</v>
      </c>
      <c r="R676" s="1"/>
    </row>
    <row r="677" spans="1:18" x14ac:dyDescent="0.2">
      <c r="A677" s="3">
        <v>676</v>
      </c>
      <c r="B677" s="2">
        <v>42618</v>
      </c>
      <c r="C677" s="1">
        <v>0.18927911702376701</v>
      </c>
      <c r="D677" s="1" t="s">
        <v>0</v>
      </c>
      <c r="E677" s="1">
        <v>192</v>
      </c>
      <c r="F677" s="1">
        <v>149</v>
      </c>
      <c r="G677" s="1" t="s">
        <v>0</v>
      </c>
      <c r="H677" s="1">
        <v>0.77604166666666696</v>
      </c>
      <c r="I677" s="1">
        <v>0.953125</v>
      </c>
      <c r="J677" s="1">
        <v>9</v>
      </c>
      <c r="K677" s="1">
        <v>2016</v>
      </c>
      <c r="L677" s="1">
        <v>0.77604166666666696</v>
      </c>
      <c r="N677" s="1">
        <v>0.77604166666666696</v>
      </c>
      <c r="O677" s="1">
        <f>(N677-N676)/N676</f>
        <v>6.7567567567575273E-3</v>
      </c>
      <c r="P677" s="2">
        <v>42618</v>
      </c>
      <c r="Q677" s="1">
        <v>32</v>
      </c>
      <c r="R677" s="1"/>
    </row>
    <row r="678" spans="1:18" x14ac:dyDescent="0.2">
      <c r="A678" s="3">
        <v>677</v>
      </c>
      <c r="B678" s="2">
        <v>42626</v>
      </c>
      <c r="C678" s="1">
        <v>0.19914763489383899</v>
      </c>
      <c r="D678" s="1">
        <v>0.23190724104642901</v>
      </c>
      <c r="E678" s="1">
        <v>192</v>
      </c>
      <c r="F678" s="1">
        <v>183</v>
      </c>
      <c r="G678" s="1" t="s">
        <v>0</v>
      </c>
      <c r="H678" s="1">
        <v>0.953125</v>
      </c>
      <c r="I678" s="1">
        <v>0.984375</v>
      </c>
      <c r="J678" s="1">
        <v>9</v>
      </c>
      <c r="K678" s="1">
        <v>2016</v>
      </c>
      <c r="L678" s="1">
        <v>0.953125</v>
      </c>
      <c r="N678" s="1">
        <v>0.953125</v>
      </c>
      <c r="O678" s="1">
        <f>(N678-N677)/N677</f>
        <v>0.22818791946308678</v>
      </c>
      <c r="P678" s="2">
        <v>42626</v>
      </c>
      <c r="Q678" s="1">
        <v>33</v>
      </c>
      <c r="R678" s="1"/>
    </row>
    <row r="679" spans="1:18" x14ac:dyDescent="0.2">
      <c r="A679" s="3">
        <v>678</v>
      </c>
      <c r="B679" s="5">
        <v>42634</v>
      </c>
      <c r="C679" s="1">
        <v>0.25519546610968502</v>
      </c>
      <c r="D679" s="1">
        <v>0.234591394662857</v>
      </c>
      <c r="E679" s="1">
        <v>192</v>
      </c>
      <c r="F679" s="1">
        <v>189</v>
      </c>
      <c r="G679" s="1" t="s">
        <v>0</v>
      </c>
      <c r="H679" s="1">
        <v>0.984375</v>
      </c>
      <c r="I679" s="1">
        <v>0.51148225469728603</v>
      </c>
      <c r="J679" s="1">
        <v>9</v>
      </c>
      <c r="K679" s="1">
        <v>2016</v>
      </c>
      <c r="L679" s="1">
        <v>0.984375</v>
      </c>
      <c r="N679" s="1">
        <v>0.984375</v>
      </c>
      <c r="O679" s="1">
        <f>(N679-N678)/N678</f>
        <v>3.2786885245901641E-2</v>
      </c>
      <c r="P679" s="5">
        <v>42634</v>
      </c>
      <c r="Q679" s="4">
        <v>34</v>
      </c>
      <c r="R679" s="1"/>
    </row>
    <row r="680" spans="1:18" x14ac:dyDescent="0.2">
      <c r="A680" s="3">
        <v>679</v>
      </c>
      <c r="B680" s="2">
        <v>42642</v>
      </c>
      <c r="C680" s="1">
        <v>0.17325186567241599</v>
      </c>
      <c r="D680" s="1">
        <v>0.188766961296399</v>
      </c>
      <c r="E680" s="1">
        <v>191.6</v>
      </c>
      <c r="F680" s="1">
        <v>98</v>
      </c>
      <c r="G680" s="1" t="s">
        <v>0</v>
      </c>
      <c r="H680" s="1">
        <v>0.51148225469728603</v>
      </c>
      <c r="I680" s="1">
        <v>0.44791666666666702</v>
      </c>
      <c r="J680" s="1">
        <v>9</v>
      </c>
      <c r="K680" s="1">
        <v>2016</v>
      </c>
      <c r="L680" s="1"/>
      <c r="M680" s="1">
        <v>0.51148225469728603</v>
      </c>
      <c r="N680" s="1">
        <v>0.51148225469728603</v>
      </c>
      <c r="O680" s="4">
        <f>(N680-N679)/N679</f>
        <v>-0.48039897935513798</v>
      </c>
      <c r="P680" s="2">
        <v>42642</v>
      </c>
      <c r="Q680" s="1">
        <v>35</v>
      </c>
      <c r="R680" s="1"/>
    </row>
    <row r="681" spans="1:18" x14ac:dyDescent="0.2">
      <c r="A681" s="3">
        <v>680</v>
      </c>
      <c r="B681" s="2">
        <v>42650</v>
      </c>
      <c r="C681" s="1">
        <v>0.12688358238449801</v>
      </c>
      <c r="D681" s="1">
        <v>0.117805180450281</v>
      </c>
      <c r="E681" s="1">
        <v>192</v>
      </c>
      <c r="F681" s="1">
        <v>86</v>
      </c>
      <c r="G681" s="1" t="s">
        <v>0</v>
      </c>
      <c r="H681" s="1">
        <v>0.44791666666666702</v>
      </c>
      <c r="I681" s="1">
        <v>0.82325338894681999</v>
      </c>
      <c r="J681" s="1">
        <v>10</v>
      </c>
      <c r="K681" s="1">
        <v>2016</v>
      </c>
      <c r="M681" s="1">
        <v>0.44791666666666702</v>
      </c>
      <c r="N681" s="1">
        <v>0.44791666666666702</v>
      </c>
      <c r="O681" s="1">
        <f>(N681-N680)/N680</f>
        <v>-0.12427721088435309</v>
      </c>
      <c r="P681" s="2">
        <v>42650</v>
      </c>
      <c r="Q681" s="1">
        <v>36</v>
      </c>
      <c r="R681" s="1"/>
    </row>
    <row r="682" spans="1:18" x14ac:dyDescent="0.2">
      <c r="A682" s="3">
        <v>681</v>
      </c>
      <c r="B682" s="5">
        <v>42658</v>
      </c>
      <c r="C682" s="1">
        <v>0.13198030070307501</v>
      </c>
      <c r="D682" s="1">
        <v>0.13657413174708699</v>
      </c>
      <c r="E682" s="1">
        <v>191.8</v>
      </c>
      <c r="F682" s="1">
        <v>157.9</v>
      </c>
      <c r="G682" s="1" t="s">
        <v>0</v>
      </c>
      <c r="H682" s="1">
        <v>0.82325338894681999</v>
      </c>
      <c r="I682" s="1">
        <v>0.91762252346193995</v>
      </c>
      <c r="J682" s="1">
        <v>10</v>
      </c>
      <c r="K682" s="1">
        <v>2016</v>
      </c>
      <c r="L682" s="1">
        <v>0.82325338894681999</v>
      </c>
      <c r="N682" s="1">
        <v>0.82325338894681999</v>
      </c>
      <c r="O682" s="4">
        <f>(N682-N681)/N681</f>
        <v>0.83796105439289903</v>
      </c>
      <c r="P682" s="5">
        <v>42658</v>
      </c>
      <c r="Q682" s="4">
        <v>37</v>
      </c>
      <c r="R682" s="1"/>
    </row>
    <row r="683" spans="1:18" x14ac:dyDescent="0.2">
      <c r="A683" s="3">
        <v>682</v>
      </c>
      <c r="B683" s="5">
        <v>42666</v>
      </c>
      <c r="C683" s="1">
        <v>0.11415810527340101</v>
      </c>
      <c r="D683" s="1">
        <v>0.112530111024777</v>
      </c>
      <c r="E683" s="1">
        <v>191.8</v>
      </c>
      <c r="F683" s="1">
        <v>176</v>
      </c>
      <c r="G683" s="1" t="s">
        <v>0</v>
      </c>
      <c r="H683" s="1">
        <v>0.91762252346193995</v>
      </c>
      <c r="I683" s="1">
        <v>0.30729166666666702</v>
      </c>
      <c r="J683" s="1">
        <v>10</v>
      </c>
      <c r="K683" s="1">
        <v>2016</v>
      </c>
      <c r="L683" s="1">
        <v>0.91762252346193995</v>
      </c>
      <c r="N683" s="1">
        <v>0.91762252346193995</v>
      </c>
      <c r="O683" s="1">
        <f>(N683-N682)/N682</f>
        <v>0.11462951234958836</v>
      </c>
      <c r="P683" s="5">
        <v>42666</v>
      </c>
      <c r="Q683" s="4">
        <v>38</v>
      </c>
      <c r="R683" s="1"/>
    </row>
    <row r="684" spans="1:18" x14ac:dyDescent="0.2">
      <c r="A684" s="3">
        <v>683</v>
      </c>
      <c r="B684" s="2">
        <v>42674</v>
      </c>
      <c r="C684" s="1">
        <v>0.11547216209205401</v>
      </c>
      <c r="D684" s="1">
        <v>0.13978661596775099</v>
      </c>
      <c r="E684" s="1">
        <v>192</v>
      </c>
      <c r="F684" s="1">
        <v>59</v>
      </c>
      <c r="G684" s="1" t="s">
        <v>0</v>
      </c>
      <c r="H684" s="1">
        <v>0.30729166666666702</v>
      </c>
      <c r="I684" s="1">
        <v>0.55208333333333304</v>
      </c>
      <c r="J684" s="1">
        <v>10</v>
      </c>
      <c r="K684" s="1">
        <v>2016</v>
      </c>
      <c r="L684" s="1"/>
      <c r="M684" s="1">
        <v>0.30729166666666702</v>
      </c>
      <c r="N684" s="1">
        <v>0.30729166666666702</v>
      </c>
      <c r="O684" s="4">
        <f>(N684-N683)/N683</f>
        <v>-0.66512192234848466</v>
      </c>
      <c r="P684" s="2">
        <v>42674</v>
      </c>
      <c r="Q684" s="1">
        <v>39</v>
      </c>
      <c r="R684" s="1"/>
    </row>
    <row r="685" spans="1:18" x14ac:dyDescent="0.2">
      <c r="A685" s="3">
        <v>684</v>
      </c>
      <c r="B685" s="2">
        <v>42682</v>
      </c>
      <c r="C685" s="1">
        <v>0.12688819204385501</v>
      </c>
      <c r="D685" s="1" t="s">
        <v>0</v>
      </c>
      <c r="E685" s="1">
        <v>192</v>
      </c>
      <c r="F685" s="1">
        <v>106</v>
      </c>
      <c r="G685" s="1" t="s">
        <v>0</v>
      </c>
      <c r="H685" s="1">
        <v>0.55208333333333304</v>
      </c>
      <c r="I685" s="1">
        <v>0.25520833333333298</v>
      </c>
      <c r="J685" s="1">
        <v>11</v>
      </c>
      <c r="K685" s="1">
        <v>2016</v>
      </c>
      <c r="L685" s="1"/>
      <c r="M685" s="1">
        <v>0.55208333333333304</v>
      </c>
      <c r="N685" s="1">
        <v>0.55208333333333304</v>
      </c>
      <c r="O685" s="1">
        <f>(N685-N684)/N684</f>
        <v>0.79661016949152241</v>
      </c>
      <c r="P685" s="2">
        <v>42682</v>
      </c>
      <c r="Q685" s="1">
        <v>40</v>
      </c>
      <c r="R685" s="1"/>
    </row>
    <row r="686" spans="1:18" x14ac:dyDescent="0.2">
      <c r="A686" s="3">
        <v>685</v>
      </c>
      <c r="B686" s="2">
        <v>42690</v>
      </c>
      <c r="C686" s="1">
        <v>0.12603562626432899</v>
      </c>
      <c r="D686" s="1">
        <v>0.13910136371851001</v>
      </c>
      <c r="E686" s="1">
        <v>192</v>
      </c>
      <c r="F686" s="1">
        <v>49</v>
      </c>
      <c r="G686" s="1" t="s">
        <v>0</v>
      </c>
      <c r="H686" s="1">
        <v>0.25520833333333298</v>
      </c>
      <c r="I686" s="1" t="s">
        <v>0</v>
      </c>
      <c r="J686" s="1">
        <v>11</v>
      </c>
      <c r="K686" s="1">
        <v>2016</v>
      </c>
      <c r="L686" s="1"/>
      <c r="M686" s="1">
        <v>0.25520833333333298</v>
      </c>
      <c r="N686" s="1">
        <v>0.25520833333333298</v>
      </c>
      <c r="O686" s="1">
        <f>(N686-N685)/N685</f>
        <v>-0.53773584905660421</v>
      </c>
      <c r="P686" s="2">
        <v>42690</v>
      </c>
      <c r="Q686" s="1">
        <v>41</v>
      </c>
      <c r="R686" s="1"/>
    </row>
    <row r="687" spans="1:18" x14ac:dyDescent="0.2">
      <c r="A687" s="3">
        <v>686</v>
      </c>
      <c r="B687" s="2">
        <v>42698</v>
      </c>
      <c r="C687" s="1">
        <v>8.9639474729915194E-2</v>
      </c>
      <c r="D687" s="1">
        <v>8.3120008309682206E-2</v>
      </c>
      <c r="E687" s="1">
        <v>43.6</v>
      </c>
      <c r="F687" s="1">
        <v>5</v>
      </c>
      <c r="G687" s="1" t="s">
        <v>0</v>
      </c>
      <c r="H687" s="1" t="s">
        <v>0</v>
      </c>
      <c r="I687" s="1">
        <v>1.0422094841063099E-2</v>
      </c>
      <c r="J687" s="1">
        <v>11</v>
      </c>
      <c r="K687" s="1">
        <v>2016</v>
      </c>
      <c r="L687" s="1"/>
      <c r="M687" s="1">
        <v>0</v>
      </c>
      <c r="N687" s="1">
        <v>0</v>
      </c>
      <c r="O687" s="1">
        <f>(N687-N686)/N686</f>
        <v>-1</v>
      </c>
      <c r="P687" s="2">
        <v>42698</v>
      </c>
      <c r="Q687" s="1">
        <v>42</v>
      </c>
      <c r="R687" s="1"/>
    </row>
    <row r="688" spans="1:18" x14ac:dyDescent="0.2">
      <c r="A688" s="3">
        <v>687</v>
      </c>
      <c r="B688" s="2">
        <v>42706</v>
      </c>
      <c r="C688" s="1">
        <v>9.1569503387197507E-2</v>
      </c>
      <c r="D688" s="1">
        <v>8.9704936991135298E-2</v>
      </c>
      <c r="E688" s="1">
        <v>191.9</v>
      </c>
      <c r="F688" s="1">
        <v>2</v>
      </c>
      <c r="G688" s="1" t="s">
        <v>0</v>
      </c>
      <c r="H688" s="1">
        <v>1.0422094841063099E-2</v>
      </c>
      <c r="I688" s="1">
        <v>0</v>
      </c>
      <c r="J688" s="1">
        <v>12</v>
      </c>
      <c r="K688" s="1">
        <v>2016</v>
      </c>
      <c r="L688" s="1"/>
      <c r="M688" s="1">
        <v>1.0422094841063099E-2</v>
      </c>
      <c r="N688" s="1">
        <v>1.0422094841063099E-2</v>
      </c>
      <c r="O688" s="1" t="e">
        <f>(N688-N687)/N687</f>
        <v>#DIV/0!</v>
      </c>
      <c r="P688" s="2">
        <v>42706</v>
      </c>
      <c r="Q688" s="1">
        <v>43</v>
      </c>
      <c r="R688" s="1"/>
    </row>
    <row r="689" spans="1:18" x14ac:dyDescent="0.2">
      <c r="A689" s="3">
        <v>688</v>
      </c>
      <c r="B689" s="2">
        <v>42714</v>
      </c>
      <c r="C689" s="1">
        <v>0.10058728445527</v>
      </c>
      <c r="D689" s="1">
        <v>0.107249040156603</v>
      </c>
      <c r="E689" s="1">
        <v>192</v>
      </c>
      <c r="F689" s="1">
        <v>0</v>
      </c>
      <c r="G689" s="1" t="s">
        <v>0</v>
      </c>
      <c r="H689" s="1">
        <v>0</v>
      </c>
      <c r="I689" s="1">
        <v>0</v>
      </c>
      <c r="J689" s="1">
        <v>12</v>
      </c>
      <c r="K689" s="1">
        <v>2016</v>
      </c>
      <c r="L689" s="1"/>
      <c r="M689" s="1">
        <v>1E-3</v>
      </c>
      <c r="N689" s="1">
        <v>1E-3</v>
      </c>
      <c r="O689" s="1">
        <f>(N689-N688)/N688</f>
        <v>-0.90405000000000046</v>
      </c>
      <c r="P689" s="2">
        <v>42714</v>
      </c>
      <c r="Q689" s="1">
        <v>44</v>
      </c>
      <c r="R689" s="1"/>
    </row>
    <row r="690" spans="1:18" x14ac:dyDescent="0.2">
      <c r="A690" s="3">
        <v>689</v>
      </c>
      <c r="B690" s="2">
        <v>42722</v>
      </c>
      <c r="C690" s="1">
        <v>0.113427661471349</v>
      </c>
      <c r="D690" s="1">
        <v>0.113935486723979</v>
      </c>
      <c r="E690" s="1">
        <v>192</v>
      </c>
      <c r="F690" s="1">
        <v>0</v>
      </c>
      <c r="G690" s="1" t="s">
        <v>0</v>
      </c>
      <c r="H690" s="1">
        <v>0</v>
      </c>
      <c r="I690" s="1">
        <v>0</v>
      </c>
      <c r="J690" s="1">
        <v>12</v>
      </c>
      <c r="K690" s="1">
        <v>2016</v>
      </c>
      <c r="L690" s="1"/>
      <c r="M690" s="1">
        <v>1E-3</v>
      </c>
      <c r="N690" s="1">
        <v>1E-3</v>
      </c>
      <c r="O690" s="1">
        <f>(N690-N689)/N689</f>
        <v>0</v>
      </c>
      <c r="P690" s="2">
        <v>42722</v>
      </c>
      <c r="Q690" s="1">
        <v>45</v>
      </c>
      <c r="R690" s="1"/>
    </row>
    <row r="691" spans="1:18" x14ac:dyDescent="0.2">
      <c r="A691" s="3">
        <v>690</v>
      </c>
      <c r="B691" s="2">
        <v>42730</v>
      </c>
      <c r="C691" s="1" t="s">
        <v>0</v>
      </c>
      <c r="D691" s="1" t="s">
        <v>0</v>
      </c>
      <c r="E691" s="1">
        <v>144</v>
      </c>
      <c r="F691" s="1">
        <v>0</v>
      </c>
      <c r="G691" s="1" t="s">
        <v>0</v>
      </c>
      <c r="H691" s="1">
        <v>0</v>
      </c>
      <c r="I691" s="1">
        <v>1.5625E-2</v>
      </c>
      <c r="J691" s="1">
        <v>12</v>
      </c>
      <c r="K691" s="1">
        <v>2016</v>
      </c>
      <c r="L691" s="1"/>
      <c r="M691" s="1">
        <v>1E-3</v>
      </c>
      <c r="N691" s="1">
        <v>1E-3</v>
      </c>
      <c r="O691" s="1">
        <f>(N691-N690)/N690</f>
        <v>0</v>
      </c>
      <c r="P691" s="2">
        <v>42730</v>
      </c>
      <c r="Q691" s="1">
        <v>46</v>
      </c>
      <c r="R691" s="1"/>
    </row>
    <row r="692" spans="1:18" x14ac:dyDescent="0.2">
      <c r="A692" s="3">
        <v>691</v>
      </c>
      <c r="B692" s="2">
        <v>42736</v>
      </c>
      <c r="C692" s="1">
        <v>0.13291084220320501</v>
      </c>
      <c r="D692" s="1">
        <v>0.13768670087059301</v>
      </c>
      <c r="E692" s="1">
        <v>192</v>
      </c>
      <c r="F692" s="1">
        <v>3</v>
      </c>
      <c r="G692" s="1" t="s">
        <v>0</v>
      </c>
      <c r="H692" s="1">
        <v>1.5625E-2</v>
      </c>
      <c r="I692" s="1">
        <v>1.0416666666666701E-2</v>
      </c>
      <c r="J692" s="1">
        <v>1</v>
      </c>
      <c r="K692" s="1">
        <v>2017</v>
      </c>
      <c r="L692" s="1"/>
      <c r="M692" s="1">
        <v>1.5625E-2</v>
      </c>
      <c r="N692" s="1">
        <v>1.5625E-2</v>
      </c>
      <c r="O692" s="1">
        <f>(N692-N691)/N691</f>
        <v>14.624999999999998</v>
      </c>
      <c r="P692" s="2">
        <v>42736</v>
      </c>
      <c r="Q692" s="1">
        <v>1</v>
      </c>
      <c r="R692" s="1"/>
    </row>
    <row r="693" spans="1:18" x14ac:dyDescent="0.2">
      <c r="A693" s="3">
        <v>692</v>
      </c>
      <c r="B693" s="2">
        <v>42744</v>
      </c>
      <c r="C693" s="1">
        <v>0.11471702210838</v>
      </c>
      <c r="D693" s="1">
        <v>0.107128867258628</v>
      </c>
      <c r="E693" s="1">
        <v>192</v>
      </c>
      <c r="F693" s="1">
        <v>2</v>
      </c>
      <c r="G693" s="1" t="s">
        <v>0</v>
      </c>
      <c r="H693" s="1">
        <v>1.0416666666666701E-2</v>
      </c>
      <c r="I693" s="1">
        <v>0</v>
      </c>
      <c r="J693" s="1">
        <v>1</v>
      </c>
      <c r="K693" s="1">
        <v>2017</v>
      </c>
      <c r="L693" s="1"/>
      <c r="M693" s="1">
        <v>1.0416666666666701E-2</v>
      </c>
      <c r="N693" s="1">
        <v>1.0416666666666701E-2</v>
      </c>
      <c r="O693" s="1">
        <f>(N693-N692)/N692</f>
        <v>-0.33333333333333115</v>
      </c>
      <c r="P693" s="2">
        <v>42744</v>
      </c>
      <c r="Q693" s="1">
        <v>2</v>
      </c>
      <c r="R693" s="1"/>
    </row>
    <row r="694" spans="1:18" x14ac:dyDescent="0.2">
      <c r="A694" s="3">
        <v>693</v>
      </c>
      <c r="B694" s="2">
        <v>42752</v>
      </c>
      <c r="C694" s="1">
        <v>8.6069509852677598E-2</v>
      </c>
      <c r="D694" s="1" t="s">
        <v>0</v>
      </c>
      <c r="E694" s="1">
        <v>192</v>
      </c>
      <c r="F694" s="1">
        <v>0</v>
      </c>
      <c r="G694" s="1" t="s">
        <v>0</v>
      </c>
      <c r="H694" s="1">
        <v>0</v>
      </c>
      <c r="I694" s="1">
        <v>0</v>
      </c>
      <c r="J694" s="1">
        <v>1</v>
      </c>
      <c r="K694" s="1">
        <v>2017</v>
      </c>
      <c r="L694" s="1"/>
      <c r="M694" s="1">
        <v>1E-3</v>
      </c>
      <c r="N694" s="1">
        <v>1E-3</v>
      </c>
      <c r="O694" s="1">
        <f>(N694-N693)/N693</f>
        <v>-0.90400000000000036</v>
      </c>
      <c r="P694" s="2">
        <v>42752</v>
      </c>
      <c r="Q694" s="1">
        <v>3</v>
      </c>
      <c r="R694" s="1"/>
    </row>
    <row r="695" spans="1:18" x14ac:dyDescent="0.2">
      <c r="A695" s="3">
        <v>694</v>
      </c>
      <c r="B695" s="2">
        <v>42760</v>
      </c>
      <c r="C695" s="1">
        <v>0.140698874990145</v>
      </c>
      <c r="D695" s="1" t="s">
        <v>0</v>
      </c>
      <c r="E695" s="1">
        <v>191.8</v>
      </c>
      <c r="F695" s="1">
        <v>0</v>
      </c>
      <c r="G695" s="1" t="s">
        <v>0</v>
      </c>
      <c r="H695" s="1">
        <v>0</v>
      </c>
      <c r="I695" s="1">
        <v>5.2083333333333296E-3</v>
      </c>
      <c r="J695" s="1">
        <v>1</v>
      </c>
      <c r="K695" s="1">
        <v>2017</v>
      </c>
      <c r="L695" s="1"/>
      <c r="M695" s="1">
        <v>1E-3</v>
      </c>
      <c r="N695" s="1">
        <v>1E-3</v>
      </c>
      <c r="O695" s="1">
        <f>(N695-N694)/N694</f>
        <v>0</v>
      </c>
      <c r="P695" s="2">
        <v>42760</v>
      </c>
      <c r="Q695" s="1">
        <v>4</v>
      </c>
      <c r="R695" s="1"/>
    </row>
    <row r="696" spans="1:18" x14ac:dyDescent="0.2">
      <c r="A696" s="3">
        <v>695</v>
      </c>
      <c r="B696" s="2">
        <v>42768</v>
      </c>
      <c r="C696" s="1">
        <v>0.148725797841325</v>
      </c>
      <c r="D696" s="1">
        <v>0.14719232668479301</v>
      </c>
      <c r="E696" s="1">
        <v>192</v>
      </c>
      <c r="F696" s="1">
        <v>1</v>
      </c>
      <c r="G696" s="1" t="s">
        <v>0</v>
      </c>
      <c r="H696" s="1">
        <v>5.2083333333333296E-3</v>
      </c>
      <c r="I696" s="1">
        <v>7.2916666666666699E-2</v>
      </c>
      <c r="J696" s="1">
        <v>2</v>
      </c>
      <c r="K696" s="1">
        <v>2017</v>
      </c>
      <c r="L696" s="1"/>
      <c r="M696" s="1">
        <v>5.2083333333333296E-3</v>
      </c>
      <c r="N696" s="1">
        <v>5.2083333333333296E-3</v>
      </c>
      <c r="O696" s="1">
        <f>(N696-N695)/N695</f>
        <v>4.2083333333333295</v>
      </c>
      <c r="P696" s="2">
        <v>42768</v>
      </c>
      <c r="Q696" s="1">
        <v>5</v>
      </c>
      <c r="R696" s="1"/>
    </row>
    <row r="697" spans="1:18" x14ac:dyDescent="0.2">
      <c r="A697" s="3">
        <v>696</v>
      </c>
      <c r="B697" s="2">
        <v>42776</v>
      </c>
      <c r="C697" s="1">
        <v>0.15407138104300699</v>
      </c>
      <c r="D697" s="1">
        <v>0.150973200798035</v>
      </c>
      <c r="E697" s="1">
        <v>192</v>
      </c>
      <c r="F697" s="1">
        <v>14</v>
      </c>
      <c r="G697" s="1" t="s">
        <v>0</v>
      </c>
      <c r="H697" s="1">
        <v>7.2916666666666699E-2</v>
      </c>
      <c r="I697" s="1">
        <v>0</v>
      </c>
      <c r="J697" s="1">
        <v>2</v>
      </c>
      <c r="K697" s="1">
        <v>2017</v>
      </c>
      <c r="L697" s="1"/>
      <c r="M697" s="1">
        <v>7.2916666666666699E-2</v>
      </c>
      <c r="N697" s="1">
        <v>7.2916666666666699E-2</v>
      </c>
      <c r="O697" s="1">
        <f>(N697-N696)/N696</f>
        <v>13.000000000000016</v>
      </c>
      <c r="P697" s="2">
        <v>42776</v>
      </c>
      <c r="Q697" s="1">
        <v>6</v>
      </c>
      <c r="R697" s="1"/>
    </row>
    <row r="698" spans="1:18" x14ac:dyDescent="0.2">
      <c r="A698" s="3">
        <v>697</v>
      </c>
      <c r="B698" s="2">
        <v>42784</v>
      </c>
      <c r="C698" s="1">
        <v>0.13173163321334899</v>
      </c>
      <c r="D698" s="1">
        <v>0.13253110895554199</v>
      </c>
      <c r="E698" s="1">
        <v>192</v>
      </c>
      <c r="F698" s="1">
        <v>0</v>
      </c>
      <c r="G698" s="1" t="s">
        <v>0</v>
      </c>
      <c r="H698" s="1">
        <v>0</v>
      </c>
      <c r="I698" s="1">
        <v>0</v>
      </c>
      <c r="J698" s="1">
        <v>2</v>
      </c>
      <c r="K698" s="1">
        <v>2017</v>
      </c>
      <c r="L698" s="1"/>
      <c r="M698" s="1">
        <v>1E-3</v>
      </c>
      <c r="N698" s="1">
        <v>1E-3</v>
      </c>
      <c r="O698" s="1">
        <f>(N698-N697)/N697</f>
        <v>-0.98628571428571432</v>
      </c>
      <c r="P698" s="2">
        <v>42784</v>
      </c>
      <c r="Q698" s="1">
        <v>7</v>
      </c>
      <c r="R698" s="1"/>
    </row>
    <row r="699" spans="1:18" x14ac:dyDescent="0.2">
      <c r="A699" s="3">
        <v>698</v>
      </c>
      <c r="B699" s="2">
        <v>42792</v>
      </c>
      <c r="C699" s="1">
        <v>0.116802127824889</v>
      </c>
      <c r="D699" s="1" t="s">
        <v>0</v>
      </c>
      <c r="E699" s="1">
        <v>192</v>
      </c>
      <c r="F699" s="1">
        <v>0</v>
      </c>
      <c r="G699" s="1" t="s">
        <v>0</v>
      </c>
      <c r="H699" s="1">
        <v>0</v>
      </c>
      <c r="I699" s="1">
        <v>0</v>
      </c>
      <c r="J699" s="1">
        <v>2</v>
      </c>
      <c r="K699" s="1">
        <v>2017</v>
      </c>
      <c r="L699" s="1"/>
      <c r="M699" s="1">
        <v>1E-3</v>
      </c>
      <c r="N699" s="1">
        <v>1E-3</v>
      </c>
      <c r="O699" s="1">
        <f>(N699-N698)/N698</f>
        <v>0</v>
      </c>
      <c r="P699" s="2">
        <v>42792</v>
      </c>
      <c r="Q699" s="1">
        <v>8</v>
      </c>
      <c r="R699" s="1"/>
    </row>
    <row r="700" spans="1:18" x14ac:dyDescent="0.2">
      <c r="A700" s="3">
        <v>699</v>
      </c>
      <c r="B700" s="2">
        <v>42800</v>
      </c>
      <c r="C700" s="1">
        <v>0.15079581586732799</v>
      </c>
      <c r="D700" s="1">
        <v>0.15122893452644301</v>
      </c>
      <c r="E700" s="1">
        <v>192</v>
      </c>
      <c r="F700" s="1">
        <v>0</v>
      </c>
      <c r="G700" s="1" t="s">
        <v>0</v>
      </c>
      <c r="H700" s="1">
        <v>0</v>
      </c>
      <c r="I700" s="1">
        <v>0</v>
      </c>
      <c r="J700" s="1">
        <v>3</v>
      </c>
      <c r="K700" s="1">
        <v>2017</v>
      </c>
      <c r="L700" s="1"/>
      <c r="M700" s="1">
        <v>1E-3</v>
      </c>
      <c r="N700" s="1">
        <v>1E-3</v>
      </c>
      <c r="O700" s="1">
        <f>(N700-N699)/N699</f>
        <v>0</v>
      </c>
      <c r="P700" s="2">
        <v>42800</v>
      </c>
      <c r="Q700" s="1">
        <v>9</v>
      </c>
      <c r="R700" s="1"/>
    </row>
    <row r="701" spans="1:18" x14ac:dyDescent="0.2">
      <c r="A701" s="3">
        <v>700</v>
      </c>
      <c r="B701" s="2">
        <v>42808</v>
      </c>
      <c r="C701" s="1">
        <v>0.11324083364528199</v>
      </c>
      <c r="D701" s="1">
        <v>0.10847411900758699</v>
      </c>
      <c r="E701" s="1">
        <v>192</v>
      </c>
      <c r="F701" s="1">
        <v>0</v>
      </c>
      <c r="G701" s="1" t="s">
        <v>0</v>
      </c>
      <c r="H701" s="1">
        <v>0</v>
      </c>
      <c r="I701" s="1">
        <v>0</v>
      </c>
      <c r="J701" s="1">
        <v>3</v>
      </c>
      <c r="K701" s="1">
        <v>2017</v>
      </c>
      <c r="L701" s="1"/>
      <c r="M701" s="1">
        <v>1E-3</v>
      </c>
      <c r="N701" s="1">
        <v>1E-3</v>
      </c>
      <c r="O701" s="1">
        <f>(N701-N700)/N700</f>
        <v>0</v>
      </c>
      <c r="P701" s="2">
        <v>42808</v>
      </c>
      <c r="Q701" s="1">
        <v>10</v>
      </c>
      <c r="R701" s="1"/>
    </row>
    <row r="702" spans="1:18" x14ac:dyDescent="0.2">
      <c r="A702" s="3">
        <v>701</v>
      </c>
      <c r="B702" s="2">
        <v>42816</v>
      </c>
      <c r="C702" s="1">
        <v>0.120038262967552</v>
      </c>
      <c r="D702" s="1">
        <v>0.117335993051529</v>
      </c>
      <c r="E702" s="1">
        <v>192</v>
      </c>
      <c r="F702" s="1">
        <v>0</v>
      </c>
      <c r="G702" s="1" t="s">
        <v>0</v>
      </c>
      <c r="H702" s="1">
        <v>0</v>
      </c>
      <c r="I702" s="1">
        <v>1.0416666666666701E-2</v>
      </c>
      <c r="J702" s="1">
        <v>3</v>
      </c>
      <c r="K702" s="1">
        <v>2017</v>
      </c>
      <c r="L702" s="1"/>
      <c r="M702" s="1">
        <v>1E-3</v>
      </c>
      <c r="N702" s="1">
        <v>1E-3</v>
      </c>
      <c r="O702" s="1">
        <f>(N702-N701)/N701</f>
        <v>0</v>
      </c>
      <c r="P702" s="2">
        <v>42816</v>
      </c>
      <c r="Q702" s="1">
        <v>11</v>
      </c>
      <c r="R702" s="1"/>
    </row>
    <row r="703" spans="1:18" x14ac:dyDescent="0.2">
      <c r="A703" s="3">
        <v>702</v>
      </c>
      <c r="B703" s="2">
        <v>42824</v>
      </c>
      <c r="C703" s="1">
        <v>0.11043575183465699</v>
      </c>
      <c r="D703" s="1">
        <v>0.10746087878942499</v>
      </c>
      <c r="E703" s="1">
        <v>192</v>
      </c>
      <c r="F703" s="1">
        <v>2</v>
      </c>
      <c r="G703" s="1" t="s">
        <v>0</v>
      </c>
      <c r="H703" s="1">
        <v>1.0416666666666701E-2</v>
      </c>
      <c r="I703" s="1">
        <v>1.5625E-2</v>
      </c>
      <c r="J703" s="1">
        <v>3</v>
      </c>
      <c r="K703" s="1">
        <v>2017</v>
      </c>
      <c r="L703" s="1"/>
      <c r="M703" s="1">
        <v>1.0416666666666701E-2</v>
      </c>
      <c r="N703" s="1">
        <v>1.0416666666666701E-2</v>
      </c>
      <c r="O703" s="1">
        <f>(N703-N702)/N702</f>
        <v>9.4166666666667016</v>
      </c>
      <c r="P703" s="2">
        <v>42824</v>
      </c>
      <c r="Q703" s="1">
        <v>12</v>
      </c>
      <c r="R703" s="1"/>
    </row>
    <row r="704" spans="1:18" x14ac:dyDescent="0.2">
      <c r="A704" s="3">
        <v>703</v>
      </c>
      <c r="B704" s="2">
        <v>42832</v>
      </c>
      <c r="C704" s="1">
        <v>0.120346781890839</v>
      </c>
      <c r="D704" s="1">
        <v>0.121423352509737</v>
      </c>
      <c r="E704" s="1">
        <v>192</v>
      </c>
      <c r="F704" s="1">
        <v>3</v>
      </c>
      <c r="G704" s="1" t="s">
        <v>0</v>
      </c>
      <c r="H704" s="1">
        <v>1.5625E-2</v>
      </c>
      <c r="I704" s="1">
        <v>0.20833333333333301</v>
      </c>
      <c r="J704" s="1">
        <v>4</v>
      </c>
      <c r="K704" s="1">
        <v>2017</v>
      </c>
      <c r="L704" s="1"/>
      <c r="M704" s="1">
        <v>1.5625E-2</v>
      </c>
      <c r="N704" s="1">
        <v>1.5625E-2</v>
      </c>
      <c r="O704" s="1">
        <f>(N704-N703)/N703</f>
        <v>0.49999999999999512</v>
      </c>
      <c r="P704" s="2">
        <v>42832</v>
      </c>
      <c r="Q704" s="1">
        <v>13</v>
      </c>
      <c r="R704" s="1"/>
    </row>
    <row r="705" spans="1:18" x14ac:dyDescent="0.2">
      <c r="A705" s="3">
        <v>704</v>
      </c>
      <c r="B705" s="2">
        <v>42840</v>
      </c>
      <c r="C705" s="1">
        <v>0.111943070166584</v>
      </c>
      <c r="D705" s="1">
        <v>0.119786001741886</v>
      </c>
      <c r="E705" s="1">
        <v>192</v>
      </c>
      <c r="F705" s="1">
        <v>40</v>
      </c>
      <c r="G705" s="1" t="s">
        <v>0</v>
      </c>
      <c r="H705" s="1">
        <v>0.20833333333333301</v>
      </c>
      <c r="I705" s="1">
        <v>0.171875</v>
      </c>
      <c r="J705" s="1">
        <v>4</v>
      </c>
      <c r="K705" s="1">
        <v>2017</v>
      </c>
      <c r="L705" s="1"/>
      <c r="M705" s="1">
        <v>0.20833333333333301</v>
      </c>
      <c r="N705" s="1">
        <v>0.20833333333333301</v>
      </c>
      <c r="O705" s="1">
        <f>(N705-N704)/N704</f>
        <v>12.333333333333313</v>
      </c>
      <c r="P705" s="2">
        <v>42840</v>
      </c>
      <c r="Q705" s="1">
        <v>14</v>
      </c>
      <c r="R705" s="1"/>
    </row>
    <row r="706" spans="1:18" x14ac:dyDescent="0.2">
      <c r="A706" s="3">
        <v>705</v>
      </c>
      <c r="B706" s="2">
        <v>42848</v>
      </c>
      <c r="C706" s="1">
        <v>0.122120814598524</v>
      </c>
      <c r="D706" s="1">
        <v>0.12827062606811501</v>
      </c>
      <c r="E706" s="1">
        <v>192</v>
      </c>
      <c r="F706" s="1">
        <v>33</v>
      </c>
      <c r="G706" s="1" t="s">
        <v>0</v>
      </c>
      <c r="H706" s="1">
        <v>0.171875</v>
      </c>
      <c r="I706" s="1">
        <v>0.33333333333333298</v>
      </c>
      <c r="J706" s="1">
        <v>4</v>
      </c>
      <c r="K706" s="1">
        <v>2017</v>
      </c>
      <c r="L706" s="1"/>
      <c r="M706" s="1">
        <v>0.171875</v>
      </c>
      <c r="N706" s="1">
        <v>0.171875</v>
      </c>
      <c r="O706" s="1">
        <f>(N706-N705)/N705</f>
        <v>-0.17499999999999871</v>
      </c>
      <c r="P706" s="2">
        <v>42848</v>
      </c>
      <c r="Q706" s="1">
        <v>15</v>
      </c>
      <c r="R706" s="1"/>
    </row>
    <row r="707" spans="1:18" x14ac:dyDescent="0.2">
      <c r="A707" s="3">
        <v>706</v>
      </c>
      <c r="B707" s="2">
        <v>42856</v>
      </c>
      <c r="C707" s="1">
        <v>0.111649538789477</v>
      </c>
      <c r="D707" s="1">
        <v>0.106945132836699</v>
      </c>
      <c r="E707" s="1">
        <v>192</v>
      </c>
      <c r="F707" s="1">
        <v>64</v>
      </c>
      <c r="G707" s="1" t="s">
        <v>0</v>
      </c>
      <c r="H707" s="1">
        <v>0.33333333333333298</v>
      </c>
      <c r="I707" s="1">
        <v>0.19270833333333301</v>
      </c>
      <c r="J707" s="1">
        <v>5</v>
      </c>
      <c r="K707" s="1">
        <v>2017</v>
      </c>
      <c r="L707" s="1"/>
      <c r="M707" s="1">
        <v>0.33333333333333298</v>
      </c>
      <c r="N707" s="1">
        <v>0.33333333333333298</v>
      </c>
      <c r="O707" s="1">
        <f>(N707-N706)/N706</f>
        <v>0.93939393939393734</v>
      </c>
      <c r="P707" s="2">
        <v>42856</v>
      </c>
      <c r="Q707" s="1">
        <v>16</v>
      </c>
      <c r="R707" s="1"/>
    </row>
    <row r="708" spans="1:18" x14ac:dyDescent="0.2">
      <c r="A708" s="3">
        <v>707</v>
      </c>
      <c r="B708" s="2">
        <v>42864</v>
      </c>
      <c r="C708" s="1">
        <v>0.14017202132451001</v>
      </c>
      <c r="D708" s="1">
        <v>0.15824940055608699</v>
      </c>
      <c r="E708" s="1">
        <v>192</v>
      </c>
      <c r="F708" s="1">
        <v>37</v>
      </c>
      <c r="G708" s="1" t="s">
        <v>0</v>
      </c>
      <c r="H708" s="1">
        <v>0.19270833333333301</v>
      </c>
      <c r="I708" s="1">
        <v>0.71875</v>
      </c>
      <c r="J708" s="1">
        <v>5</v>
      </c>
      <c r="K708" s="1">
        <v>2017</v>
      </c>
      <c r="L708" s="1"/>
      <c r="M708" s="1">
        <v>0.19270833333333301</v>
      </c>
      <c r="N708" s="1">
        <v>0.19270833333333301</v>
      </c>
      <c r="O708" s="1">
        <f>(N708-N707)/N707</f>
        <v>-0.42187500000000039</v>
      </c>
      <c r="P708" s="2">
        <v>42864</v>
      </c>
      <c r="Q708" s="1">
        <v>17</v>
      </c>
      <c r="R708" s="1"/>
    </row>
    <row r="709" spans="1:18" x14ac:dyDescent="0.2">
      <c r="A709" s="3">
        <v>708</v>
      </c>
      <c r="B709" s="5">
        <v>42872</v>
      </c>
      <c r="C709" s="1">
        <v>0.14414198428045899</v>
      </c>
      <c r="D709" s="1">
        <v>0.14051327606042199</v>
      </c>
      <c r="E709" s="1">
        <v>192</v>
      </c>
      <c r="F709" s="1">
        <v>138</v>
      </c>
      <c r="G709" s="1" t="s">
        <v>0</v>
      </c>
      <c r="H709" s="1">
        <v>0.71875</v>
      </c>
      <c r="I709" s="1">
        <v>0.98958333333333304</v>
      </c>
      <c r="J709" s="1">
        <v>5</v>
      </c>
      <c r="K709" s="1">
        <v>2017</v>
      </c>
      <c r="L709" s="1">
        <v>0.71875</v>
      </c>
      <c r="N709" s="1">
        <v>0.71875</v>
      </c>
      <c r="O709" s="4">
        <f>(N709-N708)/N708</f>
        <v>2.729729729729736</v>
      </c>
      <c r="P709" s="5">
        <v>42872</v>
      </c>
      <c r="Q709" s="4">
        <v>18</v>
      </c>
      <c r="R709" s="1"/>
    </row>
    <row r="710" spans="1:18" x14ac:dyDescent="0.2">
      <c r="A710" s="3">
        <v>709</v>
      </c>
      <c r="B710" s="2">
        <v>42880</v>
      </c>
      <c r="C710" s="1">
        <v>0.13049488765272199</v>
      </c>
      <c r="D710" s="1">
        <v>0.13106994181871401</v>
      </c>
      <c r="E710" s="1">
        <v>192</v>
      </c>
      <c r="F710" s="1">
        <v>190</v>
      </c>
      <c r="G710" s="1" t="s">
        <v>0</v>
      </c>
      <c r="H710" s="1">
        <v>0.98958333333333304</v>
      </c>
      <c r="I710" s="1">
        <v>1</v>
      </c>
      <c r="J710" s="1">
        <v>5</v>
      </c>
      <c r="K710" s="1">
        <v>2017</v>
      </c>
      <c r="L710" s="1">
        <v>0.98958333333333304</v>
      </c>
      <c r="N710" s="1">
        <v>0.98958333333333304</v>
      </c>
      <c r="O710" s="1">
        <f>(N710-N709)/N709</f>
        <v>0.37681159420289811</v>
      </c>
      <c r="P710" s="2">
        <v>42880</v>
      </c>
      <c r="Q710" s="1">
        <v>19</v>
      </c>
      <c r="R710" s="1"/>
    </row>
    <row r="711" spans="1:18" x14ac:dyDescent="0.2">
      <c r="A711" s="3">
        <v>710</v>
      </c>
      <c r="B711" s="2">
        <v>42888</v>
      </c>
      <c r="C711" s="1">
        <v>0.16090083221594501</v>
      </c>
      <c r="D711" s="1">
        <v>0.16147073109944701</v>
      </c>
      <c r="E711" s="1">
        <v>192</v>
      </c>
      <c r="F711" s="1">
        <v>192</v>
      </c>
      <c r="G711" s="1" t="s">
        <v>0</v>
      </c>
      <c r="H711" s="1">
        <v>1</v>
      </c>
      <c r="I711" s="1">
        <v>1</v>
      </c>
      <c r="J711" s="1">
        <v>6</v>
      </c>
      <c r="K711" s="1">
        <v>2017</v>
      </c>
      <c r="L711" s="1">
        <v>1</v>
      </c>
      <c r="N711" s="1">
        <v>1</v>
      </c>
      <c r="O711" s="1">
        <f>(N711-N710)/N710</f>
        <v>1.0526315789473986E-2</v>
      </c>
      <c r="P711" s="2">
        <v>42888</v>
      </c>
      <c r="Q711" s="1">
        <v>20</v>
      </c>
      <c r="R711" s="1"/>
    </row>
    <row r="712" spans="1:18" x14ac:dyDescent="0.2">
      <c r="A712" s="3">
        <v>711</v>
      </c>
      <c r="B712" s="2">
        <v>42896</v>
      </c>
      <c r="C712" s="1">
        <v>0.20229147806547701</v>
      </c>
      <c r="D712" s="1">
        <v>0.18702649474144001</v>
      </c>
      <c r="E712" s="1">
        <v>192</v>
      </c>
      <c r="F712" s="1">
        <v>192</v>
      </c>
      <c r="G712" s="1" t="s">
        <v>0</v>
      </c>
      <c r="H712" s="1">
        <v>1</v>
      </c>
      <c r="I712" s="1">
        <v>0.97916666666666696</v>
      </c>
      <c r="J712" s="1">
        <v>6</v>
      </c>
      <c r="K712" s="1">
        <v>2017</v>
      </c>
      <c r="L712" s="1">
        <v>1</v>
      </c>
      <c r="N712" s="1">
        <v>1</v>
      </c>
      <c r="O712" s="1">
        <f>(N712-N711)/N711</f>
        <v>0</v>
      </c>
      <c r="P712" s="2">
        <v>42896</v>
      </c>
      <c r="Q712" s="1">
        <v>21</v>
      </c>
      <c r="R712" s="1"/>
    </row>
    <row r="713" spans="1:18" x14ac:dyDescent="0.2">
      <c r="A713" s="3">
        <v>712</v>
      </c>
      <c r="B713" s="2">
        <v>42904</v>
      </c>
      <c r="C713" s="1">
        <v>0.20123116292736701</v>
      </c>
      <c r="D713" s="1">
        <v>0.18706231812636101</v>
      </c>
      <c r="E713" s="1">
        <v>192</v>
      </c>
      <c r="F713" s="1">
        <v>188</v>
      </c>
      <c r="G713" s="1" t="s">
        <v>0</v>
      </c>
      <c r="H713" s="1">
        <v>0.97916666666666696</v>
      </c>
      <c r="I713" s="1">
        <v>0.93229166666666696</v>
      </c>
      <c r="J713" s="1">
        <v>6</v>
      </c>
      <c r="K713" s="1">
        <v>2017</v>
      </c>
      <c r="L713" s="1">
        <v>0.97916666666666696</v>
      </c>
      <c r="N713" s="1">
        <v>0.97916666666666696</v>
      </c>
      <c r="O713" s="1">
        <f>(N713-N712)/N712</f>
        <v>-2.0833333333333037E-2</v>
      </c>
      <c r="P713" s="2">
        <v>42904</v>
      </c>
      <c r="Q713" s="1">
        <v>22</v>
      </c>
      <c r="R713" s="1"/>
    </row>
    <row r="714" spans="1:18" x14ac:dyDescent="0.2">
      <c r="A714" s="3">
        <v>713</v>
      </c>
      <c r="B714" s="5">
        <v>42912</v>
      </c>
      <c r="C714" s="1">
        <v>0.14817435475009899</v>
      </c>
      <c r="D714" s="1">
        <v>0.15650987625122101</v>
      </c>
      <c r="E714" s="1">
        <v>192</v>
      </c>
      <c r="F714" s="1">
        <v>179</v>
      </c>
      <c r="G714" s="1" t="s">
        <v>0</v>
      </c>
      <c r="H714" s="1">
        <v>0.93229166666666696</v>
      </c>
      <c r="I714" s="1">
        <v>0.49479166666666702</v>
      </c>
      <c r="J714" s="1">
        <v>6</v>
      </c>
      <c r="K714" s="1">
        <v>2017</v>
      </c>
      <c r="L714" s="1">
        <v>0.93229166666666696</v>
      </c>
      <c r="N714" s="1">
        <v>0.93229166666666696</v>
      </c>
      <c r="O714" s="1">
        <f>(N714-N713)/N713</f>
        <v>-4.7872340425531901E-2</v>
      </c>
      <c r="P714" s="5">
        <v>42912</v>
      </c>
      <c r="Q714" s="4">
        <v>23</v>
      </c>
      <c r="R714" s="1"/>
    </row>
    <row r="715" spans="1:18" x14ac:dyDescent="0.2">
      <c r="A715" s="3">
        <v>714</v>
      </c>
      <c r="B715" s="2">
        <v>42920</v>
      </c>
      <c r="C715" s="1">
        <v>0.16591634248432399</v>
      </c>
      <c r="D715" s="1">
        <v>0.168293431401253</v>
      </c>
      <c r="E715" s="1">
        <v>192</v>
      </c>
      <c r="F715" s="1">
        <v>95</v>
      </c>
      <c r="G715" s="1" t="s">
        <v>0</v>
      </c>
      <c r="H715" s="1">
        <v>0.49479166666666702</v>
      </c>
      <c r="I715" s="1">
        <v>0.91666666666666696</v>
      </c>
      <c r="J715" s="1">
        <v>7</v>
      </c>
      <c r="K715" s="1">
        <v>2017</v>
      </c>
      <c r="L715" s="1"/>
      <c r="M715" s="1">
        <v>0.49479166666666702</v>
      </c>
      <c r="N715" s="1">
        <v>0.49479166666666702</v>
      </c>
      <c r="O715" s="4">
        <f>(N715-N714)/N714</f>
        <v>-0.46927374301675956</v>
      </c>
      <c r="P715" s="2">
        <v>42920</v>
      </c>
      <c r="Q715" s="1">
        <v>24</v>
      </c>
      <c r="R715" s="1"/>
    </row>
    <row r="716" spans="1:18" x14ac:dyDescent="0.2">
      <c r="A716" s="3">
        <v>715</v>
      </c>
      <c r="B716" s="5">
        <v>42928</v>
      </c>
      <c r="C716" s="1">
        <v>0.17950257578099399</v>
      </c>
      <c r="D716" s="1">
        <v>0.1897336602211</v>
      </c>
      <c r="E716" s="1">
        <v>192</v>
      </c>
      <c r="F716" s="1">
        <v>176</v>
      </c>
      <c r="G716" s="1" t="s">
        <v>0</v>
      </c>
      <c r="H716" s="1">
        <v>0.91666666666666696</v>
      </c>
      <c r="I716" s="1">
        <v>1</v>
      </c>
      <c r="J716" s="1">
        <v>7</v>
      </c>
      <c r="K716" s="1">
        <v>2017</v>
      </c>
      <c r="L716" s="1">
        <v>0.91666666666666696</v>
      </c>
      <c r="N716" s="1">
        <v>0.91666666666666696</v>
      </c>
      <c r="O716" s="4">
        <f>(N716-N715)/N715</f>
        <v>0.85263157894736774</v>
      </c>
      <c r="P716" s="5">
        <v>42928</v>
      </c>
      <c r="Q716" s="4">
        <v>25</v>
      </c>
      <c r="R716" s="1"/>
    </row>
    <row r="717" spans="1:18" x14ac:dyDescent="0.2">
      <c r="A717" s="3">
        <v>716</v>
      </c>
      <c r="B717" s="2">
        <v>42936</v>
      </c>
      <c r="C717" s="1">
        <v>0.175224238466994</v>
      </c>
      <c r="D717" s="1">
        <v>0.189909425377846</v>
      </c>
      <c r="E717" s="1">
        <v>192</v>
      </c>
      <c r="F717" s="1">
        <v>192</v>
      </c>
      <c r="G717" s="1" t="s">
        <v>0</v>
      </c>
      <c r="H717" s="1">
        <v>1</v>
      </c>
      <c r="I717" s="1">
        <v>0.98958333333333304</v>
      </c>
      <c r="J717" s="1">
        <v>7</v>
      </c>
      <c r="K717" s="1">
        <v>2017</v>
      </c>
      <c r="L717" s="1">
        <v>1</v>
      </c>
      <c r="N717" s="1">
        <v>1</v>
      </c>
      <c r="O717" s="1">
        <f>(N717-N716)/N716</f>
        <v>9.0909090909090551E-2</v>
      </c>
      <c r="P717" s="2">
        <v>42936</v>
      </c>
      <c r="Q717" s="1">
        <v>26</v>
      </c>
      <c r="R717" s="1"/>
    </row>
    <row r="718" spans="1:18" x14ac:dyDescent="0.2">
      <c r="A718" s="3">
        <v>717</v>
      </c>
      <c r="B718" s="2">
        <v>42944</v>
      </c>
      <c r="C718" s="1">
        <v>0.16693754467894001</v>
      </c>
      <c r="D718" s="1">
        <v>0.193860128521919</v>
      </c>
      <c r="E718" s="1">
        <v>192</v>
      </c>
      <c r="F718" s="1">
        <v>190</v>
      </c>
      <c r="G718" s="1" t="s">
        <v>0</v>
      </c>
      <c r="H718" s="1">
        <v>0.98958333333333304</v>
      </c>
      <c r="I718" s="1">
        <v>0.890625</v>
      </c>
      <c r="J718" s="1">
        <v>7</v>
      </c>
      <c r="K718" s="1">
        <v>2017</v>
      </c>
      <c r="L718" s="1">
        <v>0.98958333333333304</v>
      </c>
      <c r="N718" s="1">
        <v>0.98958333333333304</v>
      </c>
      <c r="O718" s="1">
        <f>(N718-N717)/N717</f>
        <v>-1.0416666666666963E-2</v>
      </c>
      <c r="P718" s="2">
        <v>42944</v>
      </c>
      <c r="Q718" s="1">
        <v>27</v>
      </c>
      <c r="R718" s="1"/>
    </row>
    <row r="719" spans="1:18" x14ac:dyDescent="0.2">
      <c r="A719" s="3">
        <v>718</v>
      </c>
      <c r="B719" s="2">
        <v>42952</v>
      </c>
      <c r="C719" s="1">
        <v>0.165105212244052</v>
      </c>
      <c r="D719" s="1">
        <v>0.168270292381446</v>
      </c>
      <c r="E719" s="1">
        <v>192</v>
      </c>
      <c r="F719" s="1">
        <v>171</v>
      </c>
      <c r="G719" s="1" t="s">
        <v>0</v>
      </c>
      <c r="H719" s="1">
        <v>0.890625</v>
      </c>
      <c r="I719" s="1">
        <v>0.85416666666666696</v>
      </c>
      <c r="J719" s="1">
        <v>8</v>
      </c>
      <c r="K719" s="1">
        <v>2017</v>
      </c>
      <c r="L719" s="1">
        <v>0.890625</v>
      </c>
      <c r="N719" s="1">
        <v>0.890625</v>
      </c>
      <c r="O719" s="1">
        <f>(N719-N718)/N718</f>
        <v>-9.9999999999999728E-2</v>
      </c>
      <c r="P719" s="2">
        <v>42952</v>
      </c>
      <c r="Q719" s="1">
        <v>28</v>
      </c>
      <c r="R719" s="1"/>
    </row>
    <row r="720" spans="1:18" x14ac:dyDescent="0.2">
      <c r="A720" s="3">
        <v>719</v>
      </c>
      <c r="B720" s="2">
        <v>42960</v>
      </c>
      <c r="C720" s="1">
        <v>0.12755056818326299</v>
      </c>
      <c r="D720" s="1">
        <v>0.116308268159628</v>
      </c>
      <c r="E720" s="1">
        <v>192</v>
      </c>
      <c r="F720" s="1">
        <v>164</v>
      </c>
      <c r="G720" s="1" t="s">
        <v>0</v>
      </c>
      <c r="H720" s="1">
        <v>0.85416666666666696</v>
      </c>
      <c r="I720" s="1">
        <v>0.67708333333333304</v>
      </c>
      <c r="J720" s="1">
        <v>8</v>
      </c>
      <c r="K720" s="1">
        <v>2017</v>
      </c>
      <c r="L720" s="1">
        <v>0.85416666666666696</v>
      </c>
      <c r="N720" s="1">
        <v>0.85416666666666696</v>
      </c>
      <c r="O720" s="1">
        <f>(N720-N719)/N719</f>
        <v>-4.0935672514619548E-2</v>
      </c>
      <c r="P720" s="2">
        <v>42960</v>
      </c>
      <c r="Q720" s="1">
        <v>29</v>
      </c>
      <c r="R720" s="1"/>
    </row>
    <row r="721" spans="1:18" x14ac:dyDescent="0.2">
      <c r="A721" s="3">
        <v>720</v>
      </c>
      <c r="B721" s="2">
        <v>42968</v>
      </c>
      <c r="C721" s="1">
        <v>0.19367271749412299</v>
      </c>
      <c r="D721" s="1">
        <v>0.183326810598373</v>
      </c>
      <c r="E721" s="1">
        <v>192</v>
      </c>
      <c r="F721" s="1">
        <v>130</v>
      </c>
      <c r="G721" s="1" t="s">
        <v>0</v>
      </c>
      <c r="H721" s="1">
        <v>0.67708333333333304</v>
      </c>
      <c r="I721" s="1">
        <v>0.96352266805627895</v>
      </c>
      <c r="J721" s="1">
        <v>8</v>
      </c>
      <c r="K721" s="1">
        <v>2017</v>
      </c>
      <c r="L721" s="1">
        <v>0.67708333333333304</v>
      </c>
      <c r="N721" s="1">
        <v>0.67708333333333304</v>
      </c>
      <c r="O721" s="1">
        <f>(N721-N720)/N720</f>
        <v>-0.20731707317073234</v>
      </c>
      <c r="P721" s="2">
        <v>42968</v>
      </c>
      <c r="Q721" s="1">
        <v>30</v>
      </c>
      <c r="R721" s="1"/>
    </row>
    <row r="722" spans="1:18" x14ac:dyDescent="0.2">
      <c r="A722" s="3">
        <v>721</v>
      </c>
      <c r="B722" s="2">
        <v>42976</v>
      </c>
      <c r="C722" s="1">
        <v>0.14213908861761201</v>
      </c>
      <c r="D722" s="1">
        <v>0.14975297699372001</v>
      </c>
      <c r="E722" s="1">
        <v>191.9</v>
      </c>
      <c r="F722" s="1">
        <v>184.9</v>
      </c>
      <c r="G722" s="1" t="s">
        <v>0</v>
      </c>
      <c r="H722" s="1">
        <v>0.96352266805627895</v>
      </c>
      <c r="I722" s="1">
        <v>0.97916666666666696</v>
      </c>
      <c r="J722" s="1">
        <v>8</v>
      </c>
      <c r="K722" s="1">
        <v>2017</v>
      </c>
      <c r="L722" s="1">
        <v>0.96352266805627895</v>
      </c>
      <c r="N722" s="1">
        <v>0.96352266805627895</v>
      </c>
      <c r="O722" s="1">
        <f>(N722-N721)/N721</f>
        <v>0.42304886359081262</v>
      </c>
      <c r="P722" s="2">
        <v>42976</v>
      </c>
      <c r="Q722" s="1">
        <v>31</v>
      </c>
      <c r="R722" s="1"/>
    </row>
    <row r="723" spans="1:18" x14ac:dyDescent="0.2">
      <c r="A723" s="3">
        <v>722</v>
      </c>
      <c r="B723" s="2">
        <v>42984</v>
      </c>
      <c r="C723" s="1">
        <v>0.14922387702390599</v>
      </c>
      <c r="D723" s="1">
        <v>0.149788707494736</v>
      </c>
      <c r="E723" s="1">
        <v>192</v>
      </c>
      <c r="F723" s="1">
        <v>188</v>
      </c>
      <c r="G723" s="1" t="s">
        <v>0</v>
      </c>
      <c r="H723" s="1">
        <v>0.97916666666666696</v>
      </c>
      <c r="I723" s="1">
        <v>0.8125</v>
      </c>
      <c r="J723" s="1">
        <v>9</v>
      </c>
      <c r="K723" s="1">
        <v>2017</v>
      </c>
      <c r="L723" s="1">
        <v>0.97916666666666696</v>
      </c>
      <c r="N723" s="1">
        <v>0.97916666666666696</v>
      </c>
      <c r="O723" s="1">
        <f>(N723-N722)/N722</f>
        <v>1.6236253830900271E-2</v>
      </c>
      <c r="P723" s="2">
        <v>42984</v>
      </c>
      <c r="Q723" s="1">
        <v>32</v>
      </c>
      <c r="R723" s="1"/>
    </row>
    <row r="724" spans="1:18" x14ac:dyDescent="0.2">
      <c r="A724" s="3">
        <v>723</v>
      </c>
      <c r="B724" s="2">
        <v>42992</v>
      </c>
      <c r="C724" s="1">
        <v>0.13991411232439999</v>
      </c>
      <c r="D724" s="1">
        <v>0.14484903713067401</v>
      </c>
      <c r="E724" s="1">
        <v>192</v>
      </c>
      <c r="F724" s="1">
        <v>156</v>
      </c>
      <c r="G724" s="1" t="s">
        <v>0</v>
      </c>
      <c r="H724" s="1">
        <v>0.8125</v>
      </c>
      <c r="I724" s="1">
        <v>1</v>
      </c>
      <c r="J724" s="1">
        <v>9</v>
      </c>
      <c r="K724" s="1">
        <v>2017</v>
      </c>
      <c r="L724" s="1">
        <v>0.8125</v>
      </c>
      <c r="N724" s="1">
        <v>0.8125</v>
      </c>
      <c r="O724" s="1">
        <f>(N724-N723)/N723</f>
        <v>-0.17021276595744705</v>
      </c>
      <c r="P724" s="2">
        <v>42992</v>
      </c>
      <c r="Q724" s="1">
        <v>33</v>
      </c>
      <c r="R724" s="1"/>
    </row>
    <row r="725" spans="1:18" x14ac:dyDescent="0.2">
      <c r="A725" s="3">
        <v>724</v>
      </c>
      <c r="B725" s="2">
        <v>43000</v>
      </c>
      <c r="C725" s="1">
        <v>0.143415694435438</v>
      </c>
      <c r="D725" s="1" t="s">
        <v>0</v>
      </c>
      <c r="E725" s="1">
        <v>192</v>
      </c>
      <c r="F725" s="1">
        <v>192</v>
      </c>
      <c r="G725" s="1" t="s">
        <v>0</v>
      </c>
      <c r="H725" s="1">
        <v>1</v>
      </c>
      <c r="I725" s="1">
        <v>0.96875</v>
      </c>
      <c r="J725" s="1">
        <v>9</v>
      </c>
      <c r="K725" s="1">
        <v>2017</v>
      </c>
      <c r="L725" s="1">
        <v>1</v>
      </c>
      <c r="N725" s="1">
        <v>1</v>
      </c>
      <c r="O725" s="1">
        <f>(N725-N724)/N724</f>
        <v>0.23076923076923078</v>
      </c>
      <c r="P725" s="2">
        <v>43000</v>
      </c>
      <c r="Q725" s="1">
        <v>34</v>
      </c>
      <c r="R725" s="1"/>
    </row>
    <row r="726" spans="1:18" x14ac:dyDescent="0.2">
      <c r="A726" s="3">
        <v>725</v>
      </c>
      <c r="B726" s="2">
        <v>43008</v>
      </c>
      <c r="C726" s="1">
        <v>0.128698046911846</v>
      </c>
      <c r="D726" s="1" t="s">
        <v>0</v>
      </c>
      <c r="E726" s="1">
        <v>192</v>
      </c>
      <c r="F726" s="1">
        <v>186</v>
      </c>
      <c r="G726" s="1" t="s">
        <v>0</v>
      </c>
      <c r="H726" s="1">
        <v>0.96875</v>
      </c>
      <c r="I726" s="1">
        <v>1</v>
      </c>
      <c r="J726" s="1">
        <v>9</v>
      </c>
      <c r="K726" s="1">
        <v>2017</v>
      </c>
      <c r="L726" s="1">
        <v>0.96875</v>
      </c>
      <c r="N726" s="1">
        <v>0.96875</v>
      </c>
      <c r="O726" s="1">
        <f>(N726-N725)/N725</f>
        <v>-3.125E-2</v>
      </c>
      <c r="P726" s="2">
        <v>43008</v>
      </c>
      <c r="Q726" s="1">
        <v>35</v>
      </c>
      <c r="R726" s="1"/>
    </row>
    <row r="727" spans="1:18" x14ac:dyDescent="0.2">
      <c r="A727" s="3">
        <v>726</v>
      </c>
      <c r="B727" s="2">
        <v>43016</v>
      </c>
      <c r="C727" s="1">
        <v>0.13533814595295801</v>
      </c>
      <c r="D727" s="1" t="s">
        <v>0</v>
      </c>
      <c r="E727" s="1">
        <v>192</v>
      </c>
      <c r="F727" s="1">
        <v>192</v>
      </c>
      <c r="G727" s="1" t="s">
        <v>0</v>
      </c>
      <c r="H727" s="1">
        <v>1</v>
      </c>
      <c r="I727" s="1">
        <v>1</v>
      </c>
      <c r="J727" s="1">
        <v>10</v>
      </c>
      <c r="K727" s="1">
        <v>2017</v>
      </c>
      <c r="L727" s="1">
        <v>1</v>
      </c>
      <c r="N727" s="1">
        <v>1</v>
      </c>
      <c r="O727" s="1">
        <f>(N727-N726)/N726</f>
        <v>3.2258064516129031E-2</v>
      </c>
      <c r="P727" s="2">
        <v>43016</v>
      </c>
      <c r="Q727" s="1">
        <v>36</v>
      </c>
      <c r="R727" s="1"/>
    </row>
    <row r="728" spans="1:18" x14ac:dyDescent="0.2">
      <c r="A728" s="3">
        <v>727</v>
      </c>
      <c r="B728" s="2">
        <v>43024</v>
      </c>
      <c r="C728" s="1">
        <v>0.15042422339320199</v>
      </c>
      <c r="D728" s="1">
        <v>0.14525958150625201</v>
      </c>
      <c r="E728" s="1">
        <v>192</v>
      </c>
      <c r="F728" s="1">
        <v>192</v>
      </c>
      <c r="G728" s="1" t="s">
        <v>0</v>
      </c>
      <c r="H728" s="1">
        <v>1</v>
      </c>
      <c r="I728" s="1">
        <v>1</v>
      </c>
      <c r="J728" s="1">
        <v>10</v>
      </c>
      <c r="K728" s="1">
        <v>2017</v>
      </c>
      <c r="L728" s="1">
        <v>1</v>
      </c>
      <c r="N728" s="1">
        <v>1</v>
      </c>
      <c r="O728" s="1">
        <f>(N728-N727)/N727</f>
        <v>0</v>
      </c>
      <c r="P728" s="2">
        <v>43024</v>
      </c>
      <c r="Q728" s="1">
        <v>37</v>
      </c>
      <c r="R728" s="1"/>
    </row>
    <row r="729" spans="1:18" x14ac:dyDescent="0.2">
      <c r="A729" s="3">
        <v>728</v>
      </c>
      <c r="B729" s="2">
        <v>43032</v>
      </c>
      <c r="C729" s="1">
        <v>0.194479159869348</v>
      </c>
      <c r="D729" s="1">
        <v>0.220595220724742</v>
      </c>
      <c r="E729" s="1">
        <v>192</v>
      </c>
      <c r="F729" s="1">
        <v>192</v>
      </c>
      <c r="G729" s="1" t="s">
        <v>0</v>
      </c>
      <c r="H729" s="1">
        <v>1</v>
      </c>
      <c r="I729" s="1">
        <v>0.97916666666666696</v>
      </c>
      <c r="J729" s="1">
        <v>10</v>
      </c>
      <c r="K729" s="1">
        <v>2017</v>
      </c>
      <c r="L729" s="1">
        <v>1</v>
      </c>
      <c r="N729" s="1">
        <v>1</v>
      </c>
      <c r="O729" s="1">
        <f>(N729-N728)/N728</f>
        <v>0</v>
      </c>
      <c r="P729" s="2">
        <v>43032</v>
      </c>
      <c r="Q729" s="1">
        <v>38</v>
      </c>
      <c r="R729" s="1"/>
    </row>
    <row r="730" spans="1:18" x14ac:dyDescent="0.2">
      <c r="A730" s="3">
        <v>729</v>
      </c>
      <c r="B730" s="2">
        <v>43040</v>
      </c>
      <c r="C730" s="1">
        <v>0.104945330665662</v>
      </c>
      <c r="D730" s="1">
        <v>8.2295998930931105E-2</v>
      </c>
      <c r="E730" s="1">
        <v>192</v>
      </c>
      <c r="F730" s="1">
        <v>188</v>
      </c>
      <c r="G730" s="1" t="s">
        <v>0</v>
      </c>
      <c r="H730" s="1">
        <v>0.97916666666666696</v>
      </c>
      <c r="I730" s="1">
        <v>0.88020833333333304</v>
      </c>
      <c r="J730" s="1">
        <v>11</v>
      </c>
      <c r="K730" s="1">
        <v>2017</v>
      </c>
      <c r="L730" s="1">
        <v>0.97916666666666696</v>
      </c>
      <c r="N730" s="1">
        <v>0.97916666666666696</v>
      </c>
      <c r="O730" s="1">
        <f>(N730-N729)/N729</f>
        <v>-2.0833333333333037E-2</v>
      </c>
      <c r="P730" s="2">
        <v>43040</v>
      </c>
      <c r="Q730" s="1">
        <v>39</v>
      </c>
      <c r="R730" s="1"/>
    </row>
    <row r="731" spans="1:18" x14ac:dyDescent="0.2">
      <c r="A731" s="3">
        <v>730</v>
      </c>
      <c r="B731" s="2">
        <v>43048</v>
      </c>
      <c r="C731" s="1">
        <v>0.113923595379327</v>
      </c>
      <c r="D731" s="1">
        <v>9.5988413318991703E-2</v>
      </c>
      <c r="E731" s="1">
        <v>192</v>
      </c>
      <c r="F731" s="1">
        <v>169</v>
      </c>
      <c r="G731" s="1" t="s">
        <v>0</v>
      </c>
      <c r="H731" s="1">
        <v>0.88020833333333304</v>
      </c>
      <c r="I731" s="1">
        <v>0.88541666666666696</v>
      </c>
      <c r="J731" s="1">
        <v>11</v>
      </c>
      <c r="K731" s="1">
        <v>2017</v>
      </c>
      <c r="L731" s="1">
        <v>0.88020833333333304</v>
      </c>
      <c r="N731" s="1">
        <v>0.88020833333333304</v>
      </c>
      <c r="O731" s="1">
        <f>(N731-N730)/N730</f>
        <v>-0.10106382978723462</v>
      </c>
      <c r="P731" s="2">
        <v>43048</v>
      </c>
      <c r="Q731" s="1">
        <v>40</v>
      </c>
      <c r="R731" s="1"/>
    </row>
    <row r="732" spans="1:18" x14ac:dyDescent="0.2">
      <c r="A732" s="3">
        <v>731</v>
      </c>
      <c r="B732" s="5">
        <v>43056</v>
      </c>
      <c r="C732" s="1">
        <v>0.114076030541615</v>
      </c>
      <c r="D732" s="1">
        <v>0.108818084001541</v>
      </c>
      <c r="E732" s="1">
        <v>192</v>
      </c>
      <c r="F732" s="1">
        <v>170</v>
      </c>
      <c r="G732" s="1" t="s">
        <v>0</v>
      </c>
      <c r="H732" s="1">
        <v>0.88541666666666696</v>
      </c>
      <c r="I732" s="1">
        <v>0.78125</v>
      </c>
      <c r="J732" s="1">
        <v>11</v>
      </c>
      <c r="K732" s="1">
        <v>2017</v>
      </c>
      <c r="L732" s="1">
        <v>0.88541666666666696</v>
      </c>
      <c r="N732" s="1">
        <v>0.88541666666666696</v>
      </c>
      <c r="O732" s="1">
        <f>(N732-N731)/N731</f>
        <v>5.9171597633142841E-3</v>
      </c>
      <c r="P732" s="5">
        <v>43056</v>
      </c>
      <c r="Q732" s="4">
        <v>41</v>
      </c>
      <c r="R732" s="1"/>
    </row>
    <row r="733" spans="1:18" x14ac:dyDescent="0.2">
      <c r="A733" s="3">
        <v>732</v>
      </c>
      <c r="B733" s="2">
        <v>43064</v>
      </c>
      <c r="C733" s="1">
        <v>8.6296266830358306E-2</v>
      </c>
      <c r="D733" s="1">
        <v>7.7469433347384098E-2</v>
      </c>
      <c r="E733" s="1">
        <v>192</v>
      </c>
      <c r="F733" s="1">
        <v>150</v>
      </c>
      <c r="G733" s="1" t="s">
        <v>0</v>
      </c>
      <c r="H733" s="1">
        <v>0.78125</v>
      </c>
      <c r="I733" s="1">
        <v>0.19672131147541</v>
      </c>
      <c r="J733" s="1">
        <v>11</v>
      </c>
      <c r="K733" s="1">
        <v>2017</v>
      </c>
      <c r="L733" s="1"/>
      <c r="M733" s="1">
        <v>0.78125</v>
      </c>
      <c r="N733" s="1">
        <v>0.78125</v>
      </c>
      <c r="O733" s="4">
        <f>(N733-N732)/N732</f>
        <v>-0.1176470588235297</v>
      </c>
      <c r="P733" s="2">
        <v>43064</v>
      </c>
      <c r="Q733" s="1">
        <v>42</v>
      </c>
      <c r="R733" s="1"/>
    </row>
    <row r="734" spans="1:18" x14ac:dyDescent="0.2">
      <c r="A734" s="3">
        <v>733</v>
      </c>
      <c r="B734" s="2">
        <v>43072</v>
      </c>
      <c r="C734" s="1">
        <v>7.4945683204909602E-2</v>
      </c>
      <c r="D734" s="1">
        <v>7.0755055174231501E-2</v>
      </c>
      <c r="E734" s="1">
        <v>183</v>
      </c>
      <c r="F734" s="1">
        <v>36</v>
      </c>
      <c r="G734" s="1" t="s">
        <v>0</v>
      </c>
      <c r="H734" s="1">
        <v>0.19672131147541</v>
      </c>
      <c r="I734" s="1">
        <v>0.41145833333333298</v>
      </c>
      <c r="J734" s="1">
        <v>12</v>
      </c>
      <c r="K734" s="1">
        <v>2017</v>
      </c>
      <c r="L734" s="1"/>
      <c r="M734" s="1">
        <v>0.19672131147541</v>
      </c>
      <c r="N734" s="1">
        <v>0.19672131147541</v>
      </c>
      <c r="O734" s="1">
        <f>(N734-N733)/N733</f>
        <v>-0.74819672131147508</v>
      </c>
      <c r="P734" s="2">
        <v>43072</v>
      </c>
      <c r="Q734" s="1">
        <v>43</v>
      </c>
      <c r="R734" s="1"/>
    </row>
    <row r="735" spans="1:18" x14ac:dyDescent="0.2">
      <c r="A735" s="3">
        <v>734</v>
      </c>
      <c r="B735" s="2">
        <v>43080</v>
      </c>
      <c r="C735" s="1">
        <v>0.11046915257074801</v>
      </c>
      <c r="D735" s="1">
        <v>0.100796176741521</v>
      </c>
      <c r="E735" s="1">
        <v>192</v>
      </c>
      <c r="F735" s="1">
        <v>79</v>
      </c>
      <c r="G735" s="1" t="s">
        <v>0</v>
      </c>
      <c r="H735" s="1">
        <v>0.41145833333333298</v>
      </c>
      <c r="I735" s="1">
        <v>0.33854166666666702</v>
      </c>
      <c r="J735" s="1">
        <v>12</v>
      </c>
      <c r="K735" s="1">
        <v>2017</v>
      </c>
      <c r="L735" s="1"/>
      <c r="M735" s="1">
        <v>0.41145833333333298</v>
      </c>
      <c r="N735" s="1">
        <v>0.41145833333333298</v>
      </c>
      <c r="O735" s="1">
        <f>(N735-N734)/N734</f>
        <v>1.0915798611111076</v>
      </c>
      <c r="P735" s="2">
        <v>43080</v>
      </c>
      <c r="Q735" s="1">
        <v>44</v>
      </c>
      <c r="R735" s="1"/>
    </row>
    <row r="736" spans="1:18" x14ac:dyDescent="0.2">
      <c r="A736" s="3">
        <v>735</v>
      </c>
      <c r="B736" s="2">
        <v>43088</v>
      </c>
      <c r="C736" s="1">
        <v>0.12518612959462699</v>
      </c>
      <c r="D736" s="1">
        <v>8.2812748849391896E-2</v>
      </c>
      <c r="E736" s="1">
        <v>192</v>
      </c>
      <c r="F736" s="1">
        <v>65</v>
      </c>
      <c r="G736" s="1" t="s">
        <v>0</v>
      </c>
      <c r="H736" s="1">
        <v>0.33854166666666702</v>
      </c>
      <c r="I736" s="1">
        <v>3.3333333333333298E-2</v>
      </c>
      <c r="J736" s="1">
        <v>12</v>
      </c>
      <c r="K736" s="1">
        <v>2017</v>
      </c>
      <c r="L736" s="1"/>
      <c r="M736" s="1">
        <v>0.33854166666666702</v>
      </c>
      <c r="N736" s="1">
        <v>0.33854166666666702</v>
      </c>
      <c r="O736" s="1">
        <f>(N736-N735)/N735</f>
        <v>-0.17721518987341617</v>
      </c>
      <c r="P736" s="2">
        <v>43088</v>
      </c>
      <c r="Q736" s="1">
        <v>45</v>
      </c>
      <c r="R736" s="1"/>
    </row>
    <row r="737" spans="1:18" x14ac:dyDescent="0.2">
      <c r="A737" s="3">
        <v>736</v>
      </c>
      <c r="B737" s="2">
        <v>43096</v>
      </c>
      <c r="C737" s="1">
        <v>0.135534420875566</v>
      </c>
      <c r="D737" s="1">
        <v>0.11808864772319801</v>
      </c>
      <c r="E737" s="1">
        <v>120</v>
      </c>
      <c r="F737" s="1">
        <v>4</v>
      </c>
      <c r="G737" s="1" t="s">
        <v>0</v>
      </c>
      <c r="H737" s="1">
        <v>3.3333333333333298E-2</v>
      </c>
      <c r="I737" s="1" t="s">
        <v>0</v>
      </c>
      <c r="J737" s="1">
        <v>12</v>
      </c>
      <c r="K737" s="1">
        <v>2017</v>
      </c>
      <c r="L737" s="1"/>
      <c r="M737" s="1">
        <v>3.3333333333333298E-2</v>
      </c>
      <c r="N737" s="1">
        <v>3.3333333333333298E-2</v>
      </c>
      <c r="O737" s="1">
        <f>(N737-N736)/N736</f>
        <v>-0.90153846153846184</v>
      </c>
      <c r="P737" s="2">
        <v>43096</v>
      </c>
      <c r="Q737" s="1">
        <v>46</v>
      </c>
      <c r="R737" s="1"/>
    </row>
    <row r="738" spans="1:18" x14ac:dyDescent="0.2">
      <c r="A738" s="3">
        <v>737</v>
      </c>
      <c r="B738" s="2">
        <v>43101</v>
      </c>
      <c r="C738" s="1">
        <v>0.117115288972855</v>
      </c>
      <c r="D738" s="1" t="s">
        <v>0</v>
      </c>
      <c r="E738" s="1">
        <v>96</v>
      </c>
      <c r="F738" s="1">
        <v>0</v>
      </c>
      <c r="G738" s="1" t="s">
        <v>0</v>
      </c>
      <c r="H738" s="1" t="s">
        <v>0</v>
      </c>
      <c r="I738" s="1" t="s">
        <v>0</v>
      </c>
      <c r="J738" s="1">
        <v>1</v>
      </c>
      <c r="K738" s="1">
        <v>2018</v>
      </c>
      <c r="L738" s="1"/>
      <c r="M738" s="1">
        <v>0</v>
      </c>
      <c r="N738" s="1">
        <v>0</v>
      </c>
      <c r="O738" s="1">
        <f>(N738-N737)/N737</f>
        <v>-1</v>
      </c>
      <c r="P738" s="2">
        <v>43101</v>
      </c>
      <c r="Q738" s="1">
        <v>1</v>
      </c>
      <c r="R738" s="1"/>
    </row>
    <row r="739" spans="1:18" x14ac:dyDescent="0.2">
      <c r="A739" s="3">
        <v>738</v>
      </c>
      <c r="B739" s="2">
        <v>43109</v>
      </c>
      <c r="C739" s="1">
        <v>0.11004511862993201</v>
      </c>
      <c r="D739" s="1" t="s">
        <v>0</v>
      </c>
      <c r="E739" s="1">
        <v>0</v>
      </c>
      <c r="F739" s="1">
        <v>0</v>
      </c>
      <c r="G739" s="1" t="s">
        <v>0</v>
      </c>
      <c r="H739" s="1" t="s">
        <v>0</v>
      </c>
      <c r="I739" s="1" t="s">
        <v>0</v>
      </c>
      <c r="J739" s="1">
        <v>1</v>
      </c>
      <c r="K739" s="1">
        <v>2018</v>
      </c>
      <c r="L739" s="1"/>
      <c r="M739" s="1">
        <v>0</v>
      </c>
      <c r="N739" s="1">
        <v>0</v>
      </c>
      <c r="O739" s="1" t="e">
        <f>(N739-N738)/N738</f>
        <v>#DIV/0!</v>
      </c>
      <c r="P739" s="2">
        <v>43109</v>
      </c>
      <c r="Q739" s="1">
        <v>2</v>
      </c>
      <c r="R739" s="1"/>
    </row>
    <row r="740" spans="1:18" x14ac:dyDescent="0.2">
      <c r="A740" s="3">
        <v>739</v>
      </c>
      <c r="B740" s="2">
        <v>43117</v>
      </c>
      <c r="C740" s="1" t="s">
        <v>0</v>
      </c>
      <c r="D740" s="1" t="s">
        <v>0</v>
      </c>
      <c r="E740" s="1">
        <v>96</v>
      </c>
      <c r="F740" s="1">
        <v>0</v>
      </c>
      <c r="G740" s="1" t="s">
        <v>0</v>
      </c>
      <c r="H740" s="1" t="s">
        <v>0</v>
      </c>
      <c r="I740" s="1">
        <v>1.5625E-2</v>
      </c>
      <c r="J740" s="1">
        <v>1</v>
      </c>
      <c r="K740" s="1">
        <v>2018</v>
      </c>
      <c r="L740" s="1"/>
      <c r="M740" s="1">
        <v>0</v>
      </c>
      <c r="N740" s="1">
        <v>0</v>
      </c>
      <c r="O740" s="1" t="e">
        <f>(N740-N739)/N739</f>
        <v>#DIV/0!</v>
      </c>
      <c r="P740" s="2">
        <v>43117</v>
      </c>
      <c r="Q740" s="1">
        <v>3</v>
      </c>
      <c r="R740" s="1"/>
    </row>
    <row r="741" spans="1:18" x14ac:dyDescent="0.2">
      <c r="A741" s="3">
        <v>740</v>
      </c>
      <c r="B741" s="2">
        <v>43125</v>
      </c>
      <c r="C741" s="1">
        <v>9.0155537240207195E-2</v>
      </c>
      <c r="D741" s="1" t="s">
        <v>0</v>
      </c>
      <c r="E741" s="1">
        <v>192</v>
      </c>
      <c r="F741" s="1">
        <v>3</v>
      </c>
      <c r="G741" s="1" t="s">
        <v>0</v>
      </c>
      <c r="H741" s="1">
        <v>1.5625E-2</v>
      </c>
      <c r="I741" s="1">
        <v>0.53645833333333304</v>
      </c>
      <c r="J741" s="1">
        <v>1</v>
      </c>
      <c r="K741" s="1">
        <v>2018</v>
      </c>
      <c r="L741" s="1"/>
      <c r="M741" s="1">
        <v>1.5625E-2</v>
      </c>
      <c r="N741" s="1">
        <v>1.5625E-2</v>
      </c>
      <c r="O741" s="1" t="e">
        <f>(N741-N740)/N740</f>
        <v>#DIV/0!</v>
      </c>
      <c r="P741" s="2">
        <v>43125</v>
      </c>
      <c r="Q741" s="1">
        <v>4</v>
      </c>
      <c r="R741" s="1"/>
    </row>
    <row r="742" spans="1:18" x14ac:dyDescent="0.2">
      <c r="A742" s="3">
        <v>741</v>
      </c>
      <c r="B742" s="2">
        <v>43133</v>
      </c>
      <c r="C742" s="1">
        <v>9.01139343326742E-2</v>
      </c>
      <c r="D742" s="1">
        <v>9.0578489005565602E-2</v>
      </c>
      <c r="E742" s="1">
        <v>192</v>
      </c>
      <c r="F742" s="1">
        <v>103</v>
      </c>
      <c r="G742" s="1" t="s">
        <v>0</v>
      </c>
      <c r="H742" s="1">
        <v>0.53645833333333304</v>
      </c>
      <c r="I742" s="1" t="s">
        <v>0</v>
      </c>
      <c r="J742" s="1">
        <v>2</v>
      </c>
      <c r="K742" s="1">
        <v>2018</v>
      </c>
      <c r="L742" s="1"/>
      <c r="M742" s="1">
        <v>0.53645833333333304</v>
      </c>
      <c r="N742" s="1">
        <v>0.53645833333333304</v>
      </c>
      <c r="O742" s="1">
        <f>(N742-N741)/N741</f>
        <v>33.333333333333314</v>
      </c>
      <c r="P742" s="2">
        <v>43133</v>
      </c>
      <c r="Q742" s="1">
        <v>5</v>
      </c>
      <c r="R742" s="1"/>
    </row>
    <row r="743" spans="1:18" x14ac:dyDescent="0.2">
      <c r="A743" s="3">
        <v>742</v>
      </c>
      <c r="B743" s="2">
        <v>43141</v>
      </c>
      <c r="C743" s="1">
        <v>9.0344208923185801E-2</v>
      </c>
      <c r="D743" s="1">
        <v>8.6164774994055393E-2</v>
      </c>
      <c r="E743" s="1">
        <v>18.8</v>
      </c>
      <c r="F743" s="1">
        <v>14</v>
      </c>
      <c r="G743" s="1" t="s">
        <v>0</v>
      </c>
      <c r="H743" s="1" t="s">
        <v>0</v>
      </c>
      <c r="I743" s="1" t="s">
        <v>0</v>
      </c>
      <c r="J743" s="1">
        <v>2</v>
      </c>
      <c r="K743" s="1">
        <v>2018</v>
      </c>
      <c r="L743" s="1"/>
      <c r="M743" s="1">
        <v>0</v>
      </c>
      <c r="N743" s="1">
        <v>0</v>
      </c>
      <c r="O743" s="1">
        <f>(N743-N742)/N742</f>
        <v>-1</v>
      </c>
      <c r="P743" s="2">
        <v>43141</v>
      </c>
      <c r="Q743" s="1">
        <v>6</v>
      </c>
      <c r="R743" s="1"/>
    </row>
    <row r="744" spans="1:18" x14ac:dyDescent="0.2">
      <c r="A744" s="3">
        <v>743</v>
      </c>
      <c r="B744" s="2">
        <v>43149</v>
      </c>
      <c r="C744" s="1" t="s">
        <v>0</v>
      </c>
      <c r="D744" s="1" t="s">
        <v>0</v>
      </c>
      <c r="E744" s="1">
        <v>0</v>
      </c>
      <c r="F744" s="1">
        <v>0</v>
      </c>
      <c r="G744" s="1" t="s">
        <v>0</v>
      </c>
      <c r="H744" s="1" t="s">
        <v>0</v>
      </c>
      <c r="I744" s="1" t="s">
        <v>0</v>
      </c>
      <c r="J744" s="1">
        <v>2</v>
      </c>
      <c r="K744" s="1">
        <v>2018</v>
      </c>
      <c r="L744" s="1"/>
      <c r="M744" s="1">
        <v>0</v>
      </c>
      <c r="N744" s="1">
        <v>0</v>
      </c>
      <c r="O744" s="1" t="e">
        <f>(N744-N743)/N743</f>
        <v>#DIV/0!</v>
      </c>
      <c r="P744" s="2">
        <v>43149</v>
      </c>
      <c r="Q744" s="1">
        <v>7</v>
      </c>
      <c r="R744" s="1"/>
    </row>
    <row r="745" spans="1:18" x14ac:dyDescent="0.2">
      <c r="A745" s="3">
        <v>744</v>
      </c>
      <c r="B745" s="2">
        <v>43157</v>
      </c>
      <c r="C745" s="1">
        <v>9.3495474796589095E-2</v>
      </c>
      <c r="D745" s="1">
        <v>8.6289364844560595E-2</v>
      </c>
      <c r="E745" s="1">
        <v>96</v>
      </c>
      <c r="F745" s="1">
        <v>0</v>
      </c>
      <c r="G745" s="1" t="s">
        <v>0</v>
      </c>
      <c r="H745" s="1" t="s">
        <v>0</v>
      </c>
      <c r="I745" s="1">
        <v>0.38020833333333298</v>
      </c>
      <c r="J745" s="1">
        <v>2</v>
      </c>
      <c r="K745" s="1">
        <v>2018</v>
      </c>
      <c r="L745" s="1"/>
      <c r="M745" s="1">
        <v>0</v>
      </c>
      <c r="N745" s="1">
        <v>0</v>
      </c>
      <c r="O745" s="1" t="e">
        <f>(N745-N744)/N744</f>
        <v>#DIV/0!</v>
      </c>
      <c r="P745" s="2">
        <v>43157</v>
      </c>
      <c r="Q745" s="1">
        <v>8</v>
      </c>
      <c r="R745" s="1"/>
    </row>
    <row r="746" spans="1:18" x14ac:dyDescent="0.2">
      <c r="A746" s="3">
        <v>745</v>
      </c>
      <c r="B746" s="2">
        <v>43165</v>
      </c>
      <c r="C746" s="1">
        <v>8.6168232560157806E-2</v>
      </c>
      <c r="D746" s="1">
        <v>8.5219375789165497E-2</v>
      </c>
      <c r="E746" s="1">
        <v>192</v>
      </c>
      <c r="F746" s="1">
        <v>73</v>
      </c>
      <c r="G746" s="1" t="s">
        <v>0</v>
      </c>
      <c r="H746" s="1">
        <v>0.38020833333333298</v>
      </c>
      <c r="I746" s="1">
        <v>2.60688216892596E-2</v>
      </c>
      <c r="J746" s="1">
        <v>3</v>
      </c>
      <c r="K746" s="1">
        <v>2018</v>
      </c>
      <c r="L746" s="1"/>
      <c r="M746" s="1">
        <v>0.38020833333333298</v>
      </c>
      <c r="N746" s="1">
        <v>0.38020833333333298</v>
      </c>
      <c r="O746" s="1" t="e">
        <f>(N746-N745)/N745</f>
        <v>#DIV/0!</v>
      </c>
      <c r="P746" s="2">
        <v>43165</v>
      </c>
      <c r="Q746" s="1">
        <v>9</v>
      </c>
      <c r="R746" s="1"/>
    </row>
    <row r="747" spans="1:18" x14ac:dyDescent="0.2">
      <c r="A747" s="3">
        <v>746</v>
      </c>
      <c r="B747" s="2">
        <v>43173</v>
      </c>
      <c r="C747" s="1">
        <v>7.7969089474367106E-2</v>
      </c>
      <c r="D747" s="1">
        <v>6.7870336274305998E-2</v>
      </c>
      <c r="E747" s="1">
        <v>191.8</v>
      </c>
      <c r="F747" s="1">
        <v>5</v>
      </c>
      <c r="G747" s="1" t="s">
        <v>0</v>
      </c>
      <c r="H747" s="1">
        <v>2.60688216892596E-2</v>
      </c>
      <c r="I747" s="1">
        <v>0.13020833333333301</v>
      </c>
      <c r="J747" s="1">
        <v>3</v>
      </c>
      <c r="K747" s="1">
        <v>2018</v>
      </c>
      <c r="L747" s="1"/>
      <c r="M747" s="1">
        <v>2.60688216892596E-2</v>
      </c>
      <c r="N747" s="1">
        <v>2.60688216892596E-2</v>
      </c>
      <c r="O747" s="1">
        <f>(N747-N746)/N746</f>
        <v>-0.93143542788578282</v>
      </c>
      <c r="P747" s="2">
        <v>43173</v>
      </c>
      <c r="Q747" s="1">
        <v>10</v>
      </c>
      <c r="R747" s="1"/>
    </row>
    <row r="748" spans="1:18" x14ac:dyDescent="0.2">
      <c r="A748" s="3">
        <v>747</v>
      </c>
      <c r="B748" s="2">
        <v>43181</v>
      </c>
      <c r="C748" s="1">
        <v>7.6585172861814502E-2</v>
      </c>
      <c r="D748" s="1">
        <v>7.7508743852376896E-2</v>
      </c>
      <c r="E748" s="1">
        <v>192</v>
      </c>
      <c r="F748" s="1">
        <v>25</v>
      </c>
      <c r="G748" s="1" t="s">
        <v>0</v>
      </c>
      <c r="H748" s="1">
        <v>0.13020833333333301</v>
      </c>
      <c r="I748" s="1">
        <v>1.0443864229764999E-2</v>
      </c>
      <c r="J748" s="1">
        <v>3</v>
      </c>
      <c r="K748" s="1">
        <v>2018</v>
      </c>
      <c r="L748" s="1"/>
      <c r="M748" s="1">
        <v>0.13020833333333301</v>
      </c>
      <c r="N748" s="1">
        <v>0.13020833333333301</v>
      </c>
      <c r="O748" s="1">
        <f>(N748-N747)/N747</f>
        <v>3.994791666666663</v>
      </c>
      <c r="P748" s="2">
        <v>43181</v>
      </c>
      <c r="Q748" s="1">
        <v>11</v>
      </c>
      <c r="R748" s="1"/>
    </row>
    <row r="749" spans="1:18" x14ac:dyDescent="0.2">
      <c r="A749" s="3">
        <v>748</v>
      </c>
      <c r="B749" s="2">
        <v>43189</v>
      </c>
      <c r="C749" s="1">
        <v>9.2725930348882102E-2</v>
      </c>
      <c r="D749" s="1">
        <v>8.9894904444615106E-2</v>
      </c>
      <c r="E749" s="1">
        <v>191.5</v>
      </c>
      <c r="F749" s="1">
        <v>2</v>
      </c>
      <c r="G749" s="1" t="s">
        <v>0</v>
      </c>
      <c r="H749" s="1">
        <v>1.0443864229764999E-2</v>
      </c>
      <c r="I749" s="1">
        <v>0</v>
      </c>
      <c r="J749" s="1">
        <v>3</v>
      </c>
      <c r="K749" s="1">
        <v>2018</v>
      </c>
      <c r="L749" s="1"/>
      <c r="M749" s="1">
        <v>1.0443864229764999E-2</v>
      </c>
      <c r="N749" s="1">
        <v>1.0443864229764999E-2</v>
      </c>
      <c r="O749" s="1">
        <f>(N749-N748)/N748</f>
        <v>-0.91979112271540464</v>
      </c>
      <c r="P749" s="2">
        <v>43189</v>
      </c>
      <c r="Q749" s="1">
        <v>12</v>
      </c>
      <c r="R749" s="1"/>
    </row>
    <row r="750" spans="1:18" x14ac:dyDescent="0.2">
      <c r="A750" s="3">
        <v>749</v>
      </c>
      <c r="B750" s="2">
        <v>43197</v>
      </c>
      <c r="C750" s="1">
        <v>0.105697508901358</v>
      </c>
      <c r="D750" s="1" t="s">
        <v>0</v>
      </c>
      <c r="E750" s="1">
        <v>192</v>
      </c>
      <c r="F750" s="1">
        <v>0</v>
      </c>
      <c r="G750" s="1" t="s">
        <v>0</v>
      </c>
      <c r="H750" s="1">
        <v>0</v>
      </c>
      <c r="I750" s="1">
        <v>1.0582010582010601E-2</v>
      </c>
      <c r="J750" s="1">
        <v>4</v>
      </c>
      <c r="K750" s="1">
        <v>2018</v>
      </c>
      <c r="L750" s="1"/>
      <c r="M750" s="1">
        <v>1E-3</v>
      </c>
      <c r="N750" s="1">
        <v>1E-3</v>
      </c>
      <c r="O750" s="1">
        <f>(N750-N749)/N749</f>
        <v>-0.90424999999999978</v>
      </c>
      <c r="P750" s="2">
        <v>43197</v>
      </c>
      <c r="Q750" s="1">
        <v>13</v>
      </c>
      <c r="R750" s="1"/>
    </row>
    <row r="751" spans="1:18" x14ac:dyDescent="0.2">
      <c r="A751" s="3">
        <v>750</v>
      </c>
      <c r="B751" s="2">
        <v>43205</v>
      </c>
      <c r="C751" s="1">
        <v>8.8183671701699495E-2</v>
      </c>
      <c r="D751" s="1">
        <v>8.5965391248464598E-2</v>
      </c>
      <c r="E751" s="1">
        <v>189</v>
      </c>
      <c r="F751" s="1">
        <v>2</v>
      </c>
      <c r="G751" s="1" t="s">
        <v>0</v>
      </c>
      <c r="H751" s="1">
        <v>1.0582010582010601E-2</v>
      </c>
      <c r="I751" s="1">
        <v>2.7932960893854698E-2</v>
      </c>
      <c r="J751" s="1">
        <v>4</v>
      </c>
      <c r="K751" s="1">
        <v>2018</v>
      </c>
      <c r="L751" s="1"/>
      <c r="M751" s="1">
        <v>1.0582010582010601E-2</v>
      </c>
      <c r="N751" s="1">
        <v>1.0582010582010601E-2</v>
      </c>
      <c r="O751" s="1">
        <f>(N751-N750)/N750</f>
        <v>9.5820105820106019</v>
      </c>
      <c r="P751" s="2">
        <v>43205</v>
      </c>
      <c r="Q751" s="1">
        <v>14</v>
      </c>
      <c r="R751" s="1"/>
    </row>
    <row r="752" spans="1:18" x14ac:dyDescent="0.2">
      <c r="A752" s="3">
        <v>751</v>
      </c>
      <c r="B752" s="2">
        <v>43213</v>
      </c>
      <c r="C752" s="1">
        <v>0.100981076348977</v>
      </c>
      <c r="D752" s="1">
        <v>9.9490415304899202E-2</v>
      </c>
      <c r="E752" s="1">
        <v>179</v>
      </c>
      <c r="F752" s="1">
        <v>5</v>
      </c>
      <c r="G752" s="1" t="s">
        <v>0</v>
      </c>
      <c r="H752" s="1">
        <v>2.7932960893854698E-2</v>
      </c>
      <c r="I752" s="1">
        <v>1.5625E-2</v>
      </c>
      <c r="J752" s="1">
        <v>4</v>
      </c>
      <c r="K752" s="1">
        <v>2018</v>
      </c>
      <c r="L752" s="1"/>
      <c r="M752" s="1">
        <v>2.7932960893854698E-2</v>
      </c>
      <c r="N752" s="1">
        <v>2.7932960893854698E-2</v>
      </c>
      <c r="O752" s="1">
        <f>(N752-N751)/N751</f>
        <v>1.6396648044692643</v>
      </c>
      <c r="P752" s="2">
        <v>43213</v>
      </c>
      <c r="Q752" s="1">
        <v>15</v>
      </c>
      <c r="R752" s="1"/>
    </row>
    <row r="753" spans="1:18" x14ac:dyDescent="0.2">
      <c r="A753" s="3">
        <v>752</v>
      </c>
      <c r="B753" s="2">
        <v>43221</v>
      </c>
      <c r="C753" s="1">
        <v>0.101285357815279</v>
      </c>
      <c r="D753" s="1">
        <v>9.1476242989301695E-2</v>
      </c>
      <c r="E753" s="1">
        <v>192</v>
      </c>
      <c r="F753" s="1">
        <v>3</v>
      </c>
      <c r="G753" s="1" t="s">
        <v>0</v>
      </c>
      <c r="H753" s="1">
        <v>1.5625E-2</v>
      </c>
      <c r="I753" s="1">
        <v>1.5625E-2</v>
      </c>
      <c r="J753" s="1">
        <v>5</v>
      </c>
      <c r="K753" s="1">
        <v>2018</v>
      </c>
      <c r="L753" s="1"/>
      <c r="M753" s="1">
        <v>1.5625E-2</v>
      </c>
      <c r="N753" s="1">
        <v>1.5625E-2</v>
      </c>
      <c r="O753" s="1">
        <f>(N753-N752)/N752</f>
        <v>-0.44062499999999899</v>
      </c>
      <c r="P753" s="2">
        <v>43221</v>
      </c>
      <c r="Q753" s="1">
        <v>16</v>
      </c>
      <c r="R753" s="1"/>
    </row>
    <row r="754" spans="1:18" x14ac:dyDescent="0.2">
      <c r="A754" s="3">
        <v>753</v>
      </c>
      <c r="B754" s="2">
        <v>43229</v>
      </c>
      <c r="C754" s="1">
        <v>0.124264501712539</v>
      </c>
      <c r="D754" s="1" t="s">
        <v>0</v>
      </c>
      <c r="E754" s="1">
        <v>192</v>
      </c>
      <c r="F754" s="1">
        <v>3</v>
      </c>
      <c r="G754" s="1" t="s">
        <v>0</v>
      </c>
      <c r="H754" s="1">
        <v>1.5625E-2</v>
      </c>
      <c r="I754" s="1" t="s">
        <v>0</v>
      </c>
      <c r="J754" s="1">
        <v>5</v>
      </c>
      <c r="K754" s="1">
        <v>2018</v>
      </c>
      <c r="L754" s="1"/>
      <c r="M754" s="1">
        <v>1.5625E-2</v>
      </c>
      <c r="N754" s="1">
        <v>1.5625E-2</v>
      </c>
      <c r="O754" s="1">
        <f>(N754-N753)/N753</f>
        <v>0</v>
      </c>
      <c r="P754" s="2">
        <v>43229</v>
      </c>
      <c r="Q754" s="1">
        <v>17</v>
      </c>
      <c r="R754" s="1"/>
    </row>
    <row r="755" spans="1:18" x14ac:dyDescent="0.2">
      <c r="A755" s="3">
        <v>754</v>
      </c>
      <c r="B755" s="2">
        <v>43237</v>
      </c>
      <c r="C755" s="1">
        <v>0.130396374338066</v>
      </c>
      <c r="D755" s="1">
        <v>0.122817816833655</v>
      </c>
      <c r="E755" s="1">
        <v>89.4</v>
      </c>
      <c r="F755" s="1">
        <v>3</v>
      </c>
      <c r="G755" s="1" t="s">
        <v>0</v>
      </c>
      <c r="H755" s="1" t="s">
        <v>0</v>
      </c>
      <c r="I755" s="1" t="s">
        <v>0</v>
      </c>
      <c r="J755" s="1">
        <v>5</v>
      </c>
      <c r="K755" s="1">
        <v>2018</v>
      </c>
      <c r="L755" s="1"/>
      <c r="M755" s="1">
        <v>0</v>
      </c>
      <c r="N755" s="1">
        <v>0</v>
      </c>
      <c r="O755" s="1">
        <f>(N755-N754)/N754</f>
        <v>-1</v>
      </c>
      <c r="P755" s="2">
        <v>43237</v>
      </c>
      <c r="Q755" s="1">
        <v>18</v>
      </c>
      <c r="R755" s="1"/>
    </row>
    <row r="756" spans="1:18" x14ac:dyDescent="0.2">
      <c r="A756" s="3">
        <v>755</v>
      </c>
      <c r="B756" s="2">
        <v>43245</v>
      </c>
      <c r="C756" s="1">
        <v>0.158286425175968</v>
      </c>
      <c r="D756" s="1">
        <v>0.17230994254350701</v>
      </c>
      <c r="E756" s="1">
        <v>24</v>
      </c>
      <c r="F756" s="1">
        <v>23</v>
      </c>
      <c r="G756" s="1" t="s">
        <v>0</v>
      </c>
      <c r="H756" s="1" t="s">
        <v>0</v>
      </c>
      <c r="I756" s="1">
        <v>1</v>
      </c>
      <c r="J756" s="1">
        <v>5</v>
      </c>
      <c r="K756" s="1">
        <v>2018</v>
      </c>
      <c r="L756" s="1"/>
      <c r="M756" s="1">
        <v>0</v>
      </c>
      <c r="N756" s="1">
        <v>0</v>
      </c>
      <c r="O756" s="1" t="e">
        <f>(N756-N755)/N755</f>
        <v>#DIV/0!</v>
      </c>
      <c r="P756" s="2">
        <v>43245</v>
      </c>
      <c r="Q756" s="1">
        <v>19</v>
      </c>
      <c r="R756" s="1"/>
    </row>
    <row r="757" spans="1:18" x14ac:dyDescent="0.2">
      <c r="A757" s="3">
        <v>756</v>
      </c>
      <c r="B757" s="5">
        <v>43253</v>
      </c>
      <c r="C757" s="1">
        <v>0.17354258407413201</v>
      </c>
      <c r="D757" s="1">
        <v>0.16906990110874201</v>
      </c>
      <c r="E757" s="1">
        <v>192</v>
      </c>
      <c r="F757" s="1">
        <v>192</v>
      </c>
      <c r="G757" s="1" t="s">
        <v>0</v>
      </c>
      <c r="H757" s="1">
        <v>1</v>
      </c>
      <c r="I757" s="1">
        <v>0.984375</v>
      </c>
      <c r="J757" s="1">
        <v>6</v>
      </c>
      <c r="K757" s="1">
        <v>2018</v>
      </c>
      <c r="L757" s="1">
        <v>1</v>
      </c>
      <c r="N757" s="1">
        <v>1</v>
      </c>
      <c r="O757" s="1" t="e">
        <f>(N757-N756)/N756</f>
        <v>#DIV/0!</v>
      </c>
      <c r="P757" s="5">
        <v>43253</v>
      </c>
      <c r="Q757" s="4">
        <v>20</v>
      </c>
      <c r="R757" s="1"/>
    </row>
    <row r="758" spans="1:18" x14ac:dyDescent="0.2">
      <c r="A758" s="3">
        <v>757</v>
      </c>
      <c r="B758" s="2">
        <v>43261</v>
      </c>
      <c r="C758" s="1">
        <v>0.16248574060729801</v>
      </c>
      <c r="D758" s="1">
        <v>0.167707907656829</v>
      </c>
      <c r="E758" s="1">
        <v>192</v>
      </c>
      <c r="F758" s="1">
        <v>189</v>
      </c>
      <c r="G758" s="1" t="s">
        <v>0</v>
      </c>
      <c r="H758" s="1">
        <v>0.984375</v>
      </c>
      <c r="I758" s="1">
        <v>0.89528795811518302</v>
      </c>
      <c r="J758" s="1">
        <v>6</v>
      </c>
      <c r="K758" s="1">
        <v>2018</v>
      </c>
      <c r="L758" s="1">
        <v>0.984375</v>
      </c>
      <c r="N758" s="1">
        <v>0.984375</v>
      </c>
      <c r="O758" s="1">
        <f>(N758-N757)/N757</f>
        <v>-1.5625E-2</v>
      </c>
      <c r="P758" s="2">
        <v>43261</v>
      </c>
      <c r="Q758" s="1">
        <v>21</v>
      </c>
      <c r="R758" s="1"/>
    </row>
    <row r="759" spans="1:18" x14ac:dyDescent="0.2">
      <c r="A759" s="3">
        <v>758</v>
      </c>
      <c r="B759" s="2">
        <v>43269</v>
      </c>
      <c r="C759" s="1">
        <v>0.177548429406271</v>
      </c>
      <c r="D759" s="1">
        <v>0.17804886897405001</v>
      </c>
      <c r="E759" s="1">
        <v>191</v>
      </c>
      <c r="F759" s="1">
        <v>171</v>
      </c>
      <c r="G759" s="1" t="s">
        <v>0</v>
      </c>
      <c r="H759" s="1">
        <v>0.89528795811518302</v>
      </c>
      <c r="I759" s="1">
        <v>0.90083565459610004</v>
      </c>
      <c r="J759" s="1">
        <v>6</v>
      </c>
      <c r="K759" s="1">
        <v>2018</v>
      </c>
      <c r="L759" s="1">
        <v>0.89528795811518302</v>
      </c>
      <c r="N759" s="1">
        <v>0.89528795811518302</v>
      </c>
      <c r="O759" s="1">
        <f>(N759-N758)/N758</f>
        <v>-9.0501121914734708E-2</v>
      </c>
      <c r="P759" s="2">
        <v>43269</v>
      </c>
      <c r="Q759" s="1">
        <v>22</v>
      </c>
      <c r="R759" s="1"/>
    </row>
    <row r="760" spans="1:18" x14ac:dyDescent="0.2">
      <c r="A760" s="3">
        <v>759</v>
      </c>
      <c r="B760" s="2">
        <v>43277</v>
      </c>
      <c r="C760" s="1">
        <v>0.18383618457050199</v>
      </c>
      <c r="D760" s="1">
        <v>0.18241759141286201</v>
      </c>
      <c r="E760" s="1">
        <v>179.5</v>
      </c>
      <c r="F760" s="1">
        <v>161.69999999999999</v>
      </c>
      <c r="G760" s="1" t="s">
        <v>0</v>
      </c>
      <c r="H760" s="1">
        <v>0.90083565459610004</v>
      </c>
      <c r="I760" s="1">
        <v>0.69270833333333304</v>
      </c>
      <c r="J760" s="1">
        <v>6</v>
      </c>
      <c r="K760" s="1">
        <v>2018</v>
      </c>
      <c r="L760" s="1">
        <v>0.90083565459610004</v>
      </c>
      <c r="N760" s="1">
        <v>0.90083565459610004</v>
      </c>
      <c r="O760" s="1">
        <f>(N760-N759)/N759</f>
        <v>6.1965498704979584E-3</v>
      </c>
      <c r="P760" s="2">
        <v>43277</v>
      </c>
      <c r="Q760" s="1">
        <v>23</v>
      </c>
      <c r="R760" s="1"/>
    </row>
    <row r="761" spans="1:18" x14ac:dyDescent="0.2">
      <c r="A761" s="3">
        <v>760</v>
      </c>
      <c r="B761" s="2">
        <v>43285</v>
      </c>
      <c r="C761" s="1">
        <v>0.16432409392339001</v>
      </c>
      <c r="D761" s="1">
        <v>0.16383550564447999</v>
      </c>
      <c r="E761" s="1">
        <v>192</v>
      </c>
      <c r="F761" s="1">
        <v>133</v>
      </c>
      <c r="G761" s="1" t="s">
        <v>0</v>
      </c>
      <c r="H761" s="1">
        <v>0.69270833333333304</v>
      </c>
      <c r="I761" s="1">
        <v>0.5</v>
      </c>
      <c r="J761" s="1">
        <v>7</v>
      </c>
      <c r="K761" s="1">
        <v>2018</v>
      </c>
      <c r="L761" s="1">
        <v>0.69270833333333304</v>
      </c>
      <c r="N761" s="1">
        <v>0.69270833333333304</v>
      </c>
      <c r="O761" s="1">
        <f>(N761-N760)/N760</f>
        <v>-0.23103805916305928</v>
      </c>
      <c r="P761" s="2">
        <v>43285</v>
      </c>
      <c r="Q761" s="1">
        <v>24</v>
      </c>
      <c r="R761" s="1"/>
    </row>
    <row r="762" spans="1:18" x14ac:dyDescent="0.2">
      <c r="A762" s="3">
        <v>761</v>
      </c>
      <c r="B762" s="2">
        <v>43293</v>
      </c>
      <c r="C762" s="1">
        <v>0.14555423569922499</v>
      </c>
      <c r="D762" s="1">
        <v>0.155475679785013</v>
      </c>
      <c r="E762" s="1">
        <v>108</v>
      </c>
      <c r="F762" s="1">
        <v>54</v>
      </c>
      <c r="G762" s="1" t="s">
        <v>0</v>
      </c>
      <c r="H762" s="1">
        <v>0.5</v>
      </c>
      <c r="I762" s="1">
        <v>0.30952380952380998</v>
      </c>
      <c r="J762" s="1">
        <v>7</v>
      </c>
      <c r="K762" s="1">
        <v>2018</v>
      </c>
      <c r="L762" s="1">
        <v>0.5</v>
      </c>
      <c r="N762" s="1">
        <v>0.5</v>
      </c>
      <c r="O762" s="1">
        <f>(N762-N761)/N761</f>
        <v>-0.27819548872180422</v>
      </c>
      <c r="P762" s="5">
        <v>43293</v>
      </c>
      <c r="Q762" s="4">
        <v>25</v>
      </c>
      <c r="R762" s="1"/>
    </row>
    <row r="763" spans="1:18" x14ac:dyDescent="0.2">
      <c r="A763" s="3">
        <v>762</v>
      </c>
      <c r="B763" s="2">
        <v>43301</v>
      </c>
      <c r="C763" s="1" t="s">
        <v>0</v>
      </c>
      <c r="D763" s="1" t="s">
        <v>0</v>
      </c>
      <c r="E763" s="1">
        <v>168</v>
      </c>
      <c r="F763" s="1">
        <v>52</v>
      </c>
      <c r="G763" s="1" t="s">
        <v>0</v>
      </c>
      <c r="H763" s="1">
        <v>0.30952380952380998</v>
      </c>
      <c r="I763" s="1">
        <v>0.36458333333333298</v>
      </c>
      <c r="J763" s="1">
        <v>7</v>
      </c>
      <c r="K763" s="1">
        <v>2018</v>
      </c>
      <c r="L763" s="1"/>
      <c r="M763" s="1">
        <v>0.30952380952380998</v>
      </c>
      <c r="N763" s="1">
        <v>0.30952380952380998</v>
      </c>
      <c r="O763" s="4">
        <f>(N763-N762)/N762</f>
        <v>-0.38095238095238004</v>
      </c>
      <c r="P763" s="2">
        <v>43301</v>
      </c>
      <c r="Q763" s="1">
        <v>26</v>
      </c>
      <c r="R763" s="1"/>
    </row>
    <row r="764" spans="1:18" x14ac:dyDescent="0.2">
      <c r="A764" s="3">
        <v>763</v>
      </c>
      <c r="B764" s="2">
        <v>43309</v>
      </c>
      <c r="C764" s="1">
        <v>0.28824572381843999</v>
      </c>
      <c r="D764" s="1">
        <v>0.29769778251647899</v>
      </c>
      <c r="E764" s="1">
        <v>192</v>
      </c>
      <c r="F764" s="1">
        <v>70</v>
      </c>
      <c r="G764" s="1" t="s">
        <v>0</v>
      </c>
      <c r="H764" s="1">
        <v>0.36458333333333298</v>
      </c>
      <c r="I764" s="1">
        <v>0.97395833333333304</v>
      </c>
      <c r="J764" s="1">
        <v>7</v>
      </c>
      <c r="K764" s="1">
        <v>2018</v>
      </c>
      <c r="L764" s="1"/>
      <c r="M764" s="1">
        <v>0.36458333333333298</v>
      </c>
      <c r="N764" s="1">
        <v>0.36458333333333298</v>
      </c>
      <c r="O764" s="1">
        <f>(N764-N763)/N763</f>
        <v>0.17788461538461253</v>
      </c>
      <c r="P764" s="2">
        <v>43309</v>
      </c>
      <c r="Q764" s="1">
        <v>27</v>
      </c>
      <c r="R764" s="1"/>
    </row>
    <row r="765" spans="1:18" x14ac:dyDescent="0.2">
      <c r="A765" s="3">
        <v>764</v>
      </c>
      <c r="B765" s="5">
        <v>43317</v>
      </c>
      <c r="C765" s="1">
        <v>0.22084581742391901</v>
      </c>
      <c r="D765" s="1">
        <v>0.21023850888013801</v>
      </c>
      <c r="E765" s="1">
        <v>192</v>
      </c>
      <c r="F765" s="1">
        <v>187</v>
      </c>
      <c r="G765" s="1" t="s">
        <v>0</v>
      </c>
      <c r="H765" s="1">
        <v>0.97395833333333304</v>
      </c>
      <c r="I765" s="1" t="s">
        <v>0</v>
      </c>
      <c r="J765" s="1">
        <v>8</v>
      </c>
      <c r="K765" s="1">
        <v>2018</v>
      </c>
      <c r="L765" s="1">
        <v>0.97395833333333304</v>
      </c>
      <c r="N765" s="1">
        <v>0.97395833333333304</v>
      </c>
      <c r="O765" s="4">
        <f>(N765-N764)/N764</f>
        <v>1.671428571428573</v>
      </c>
      <c r="P765" s="5">
        <v>43317</v>
      </c>
      <c r="Q765" s="4">
        <v>28</v>
      </c>
      <c r="R765" s="1"/>
    </row>
    <row r="766" spans="1:18" x14ac:dyDescent="0.2">
      <c r="A766" s="3">
        <v>765</v>
      </c>
      <c r="B766" s="2">
        <v>43325</v>
      </c>
      <c r="C766" s="1">
        <v>0.17900253369890401</v>
      </c>
      <c r="D766" s="1">
        <v>0.16647282242774999</v>
      </c>
      <c r="E766" s="1">
        <v>48</v>
      </c>
      <c r="F766" s="1">
        <v>48</v>
      </c>
      <c r="G766" s="1" t="s">
        <v>0</v>
      </c>
      <c r="H766" s="1" t="s">
        <v>0</v>
      </c>
      <c r="I766" s="1" t="s">
        <v>0</v>
      </c>
      <c r="J766" s="1">
        <v>8</v>
      </c>
      <c r="K766" s="1">
        <v>2018</v>
      </c>
      <c r="L766" s="1"/>
      <c r="M766" s="1">
        <v>0</v>
      </c>
      <c r="N766" s="1">
        <v>0</v>
      </c>
      <c r="O766" s="1">
        <f>(N766-N765)/N765</f>
        <v>-1</v>
      </c>
      <c r="P766" s="2">
        <v>43325</v>
      </c>
      <c r="Q766" s="1">
        <v>29</v>
      </c>
      <c r="R766" s="1"/>
    </row>
    <row r="767" spans="1:18" x14ac:dyDescent="0.2">
      <c r="A767" s="3">
        <v>766</v>
      </c>
      <c r="B767" s="2">
        <v>43333</v>
      </c>
      <c r="C767" s="1">
        <v>0.16803282843186301</v>
      </c>
      <c r="D767" s="1">
        <v>0.18415262550115599</v>
      </c>
      <c r="E767" s="1">
        <v>0</v>
      </c>
      <c r="F767" s="1">
        <v>0</v>
      </c>
      <c r="G767" s="1" t="s">
        <v>0</v>
      </c>
      <c r="H767" s="1" t="s">
        <v>0</v>
      </c>
      <c r="I767" s="1" t="s">
        <v>0</v>
      </c>
      <c r="J767" s="1">
        <v>8</v>
      </c>
      <c r="K767" s="1">
        <v>2018</v>
      </c>
      <c r="L767" s="1"/>
      <c r="M767" s="1">
        <v>0</v>
      </c>
      <c r="N767" s="1">
        <v>0</v>
      </c>
      <c r="O767" s="1" t="e">
        <f>(N767-N766)/N766</f>
        <v>#DIV/0!</v>
      </c>
      <c r="P767" s="2">
        <v>43333</v>
      </c>
      <c r="Q767" s="1">
        <v>30</v>
      </c>
      <c r="R767" s="1"/>
    </row>
    <row r="768" spans="1:18" x14ac:dyDescent="0.2">
      <c r="A768" s="3">
        <v>767</v>
      </c>
      <c r="B768" s="2">
        <v>43341</v>
      </c>
      <c r="C768" s="1">
        <v>0.118301965865015</v>
      </c>
      <c r="D768" s="1">
        <v>0.120655804872513</v>
      </c>
      <c r="E768" s="1">
        <v>0</v>
      </c>
      <c r="F768" s="1">
        <v>0</v>
      </c>
      <c r="G768" s="1" t="s">
        <v>0</v>
      </c>
      <c r="H768" s="1" t="s">
        <v>0</v>
      </c>
      <c r="I768" s="1" t="s">
        <v>0</v>
      </c>
      <c r="J768" s="1">
        <v>8</v>
      </c>
      <c r="K768" s="1">
        <v>2018</v>
      </c>
      <c r="L768" s="1"/>
      <c r="M768" s="1">
        <v>0</v>
      </c>
      <c r="N768" s="1">
        <v>0</v>
      </c>
      <c r="O768" s="1" t="e">
        <f>(N768-N767)/N767</f>
        <v>#DIV/0!</v>
      </c>
      <c r="P768" s="2">
        <v>43341</v>
      </c>
      <c r="Q768" s="1">
        <v>31</v>
      </c>
      <c r="R768" s="1"/>
    </row>
    <row r="769" spans="1:18" x14ac:dyDescent="0.2">
      <c r="A769" s="3">
        <v>768</v>
      </c>
      <c r="B769" s="2">
        <v>43349</v>
      </c>
      <c r="C769" s="1" t="s">
        <v>0</v>
      </c>
      <c r="D769" s="1" t="s">
        <v>0</v>
      </c>
      <c r="E769" s="1">
        <v>0</v>
      </c>
      <c r="F769" s="1">
        <v>0</v>
      </c>
      <c r="G769" s="1" t="s">
        <v>0</v>
      </c>
      <c r="H769" s="1" t="s">
        <v>0</v>
      </c>
      <c r="I769" s="1" t="s">
        <v>0</v>
      </c>
      <c r="J769" s="1">
        <v>9</v>
      </c>
      <c r="K769" s="1">
        <v>2018</v>
      </c>
      <c r="L769" s="1"/>
      <c r="M769" s="1">
        <v>0</v>
      </c>
      <c r="N769" s="1">
        <v>0</v>
      </c>
      <c r="O769" s="1" t="e">
        <f>(N769-N768)/N768</f>
        <v>#DIV/0!</v>
      </c>
      <c r="P769" s="2">
        <v>43349</v>
      </c>
      <c r="Q769" s="1">
        <v>32</v>
      </c>
      <c r="R769" s="1"/>
    </row>
    <row r="770" spans="1:18" x14ac:dyDescent="0.2">
      <c r="A770" s="3">
        <v>769</v>
      </c>
      <c r="B770" s="2">
        <v>43357</v>
      </c>
      <c r="C770" s="1">
        <v>0.12064295038580899</v>
      </c>
      <c r="D770" s="1" t="s">
        <v>0</v>
      </c>
      <c r="E770" s="1">
        <v>0</v>
      </c>
      <c r="F770" s="1">
        <v>0</v>
      </c>
      <c r="G770" s="1" t="s">
        <v>0</v>
      </c>
      <c r="H770" s="1" t="s">
        <v>0</v>
      </c>
      <c r="I770" s="1" t="s">
        <v>0</v>
      </c>
      <c r="J770" s="1">
        <v>9</v>
      </c>
      <c r="K770" s="1">
        <v>2018</v>
      </c>
      <c r="L770" s="1"/>
      <c r="M770" s="1">
        <v>0</v>
      </c>
      <c r="N770" s="1">
        <v>0</v>
      </c>
      <c r="O770" s="1" t="e">
        <f>(N770-N769)/N769</f>
        <v>#DIV/0!</v>
      </c>
      <c r="P770" s="2">
        <v>43357</v>
      </c>
      <c r="Q770" s="1">
        <v>33</v>
      </c>
      <c r="R770" s="1"/>
    </row>
    <row r="771" spans="1:18" x14ac:dyDescent="0.2">
      <c r="A771" s="3">
        <v>770</v>
      </c>
      <c r="B771" s="2">
        <v>43365</v>
      </c>
      <c r="C771" s="1">
        <v>0.106743770341078</v>
      </c>
      <c r="D771" s="1" t="s">
        <v>0</v>
      </c>
      <c r="E771" s="1">
        <v>0</v>
      </c>
      <c r="F771" s="1">
        <v>0</v>
      </c>
      <c r="G771" s="1" t="s">
        <v>0</v>
      </c>
      <c r="H771" s="1" t="s">
        <v>0</v>
      </c>
      <c r="I771" s="1" t="s">
        <v>0</v>
      </c>
      <c r="J771" s="1">
        <v>9</v>
      </c>
      <c r="K771" s="1">
        <v>2018</v>
      </c>
      <c r="L771" s="1"/>
      <c r="M771" s="1">
        <v>0</v>
      </c>
      <c r="N771" s="1">
        <v>0</v>
      </c>
      <c r="O771" s="1" t="e">
        <f>(N771-N770)/N770</f>
        <v>#DIV/0!</v>
      </c>
      <c r="P771" s="2">
        <v>43365</v>
      </c>
      <c r="Q771" s="1">
        <v>34</v>
      </c>
      <c r="R771" s="1"/>
    </row>
    <row r="772" spans="1:18" x14ac:dyDescent="0.2">
      <c r="A772" s="3">
        <v>771</v>
      </c>
      <c r="B772" s="2">
        <v>43373</v>
      </c>
      <c r="C772" s="1" t="s">
        <v>0</v>
      </c>
      <c r="D772" s="1" t="s">
        <v>0</v>
      </c>
      <c r="E772" s="1">
        <v>0</v>
      </c>
      <c r="F772" s="1">
        <v>0</v>
      </c>
      <c r="G772" s="1" t="s">
        <v>0</v>
      </c>
      <c r="H772" s="1" t="s">
        <v>0</v>
      </c>
      <c r="I772" s="1" t="s">
        <v>0</v>
      </c>
      <c r="J772" s="1">
        <v>9</v>
      </c>
      <c r="K772" s="1">
        <v>2018</v>
      </c>
      <c r="L772" s="1"/>
      <c r="M772" s="1">
        <v>0</v>
      </c>
      <c r="N772" s="1">
        <v>0</v>
      </c>
      <c r="O772" s="1" t="e">
        <f>(N772-N771)/N771</f>
        <v>#DIV/0!</v>
      </c>
      <c r="P772" s="2">
        <v>43373</v>
      </c>
      <c r="Q772" s="1">
        <v>35</v>
      </c>
      <c r="R772" s="1"/>
    </row>
    <row r="773" spans="1:18" x14ac:dyDescent="0.2">
      <c r="A773" s="3">
        <v>772</v>
      </c>
      <c r="B773" s="2">
        <v>43381</v>
      </c>
      <c r="C773" s="1">
        <v>0.14747990900650601</v>
      </c>
      <c r="D773" s="1" t="s">
        <v>0</v>
      </c>
      <c r="E773" s="1">
        <v>0</v>
      </c>
      <c r="F773" s="1">
        <v>0</v>
      </c>
      <c r="G773" s="1" t="s">
        <v>0</v>
      </c>
      <c r="H773" s="1" t="s">
        <v>0</v>
      </c>
      <c r="I773" s="1" t="s">
        <v>0</v>
      </c>
      <c r="J773" s="1">
        <v>10</v>
      </c>
      <c r="K773" s="1">
        <v>2018</v>
      </c>
      <c r="L773" s="1"/>
      <c r="M773" s="1">
        <v>0</v>
      </c>
      <c r="N773" s="1">
        <v>0</v>
      </c>
      <c r="O773" s="1" t="e">
        <f>(N773-N772)/N772</f>
        <v>#DIV/0!</v>
      </c>
      <c r="P773" s="2">
        <v>43381</v>
      </c>
      <c r="Q773" s="1">
        <v>36</v>
      </c>
      <c r="R773" s="1"/>
    </row>
    <row r="774" spans="1:18" x14ac:dyDescent="0.2">
      <c r="A774" s="3">
        <v>773</v>
      </c>
      <c r="B774" s="2">
        <v>43389</v>
      </c>
      <c r="C774" s="1" t="s">
        <v>0</v>
      </c>
      <c r="D774" s="1" t="s">
        <v>0</v>
      </c>
      <c r="E774" s="1">
        <v>0</v>
      </c>
      <c r="F774" s="1">
        <v>0</v>
      </c>
      <c r="G774" s="1" t="s">
        <v>0</v>
      </c>
      <c r="H774" s="1" t="s">
        <v>0</v>
      </c>
      <c r="I774" s="1" t="s">
        <v>0</v>
      </c>
      <c r="J774" s="1">
        <v>10</v>
      </c>
      <c r="K774" s="1">
        <v>2018</v>
      </c>
      <c r="L774" s="1"/>
      <c r="M774" s="1">
        <v>0</v>
      </c>
      <c r="N774" s="1">
        <v>0</v>
      </c>
      <c r="O774" s="1" t="e">
        <f>(N774-N773)/N773</f>
        <v>#DIV/0!</v>
      </c>
      <c r="P774" s="2">
        <v>43389</v>
      </c>
      <c r="Q774" s="1">
        <v>37</v>
      </c>
      <c r="R774" s="1"/>
    </row>
    <row r="775" spans="1:18" x14ac:dyDescent="0.2">
      <c r="A775" s="3">
        <v>774</v>
      </c>
      <c r="B775" s="2">
        <v>43397</v>
      </c>
      <c r="C775" s="1">
        <v>0.12064742730422499</v>
      </c>
      <c r="D775" s="1">
        <v>0.121757674962282</v>
      </c>
      <c r="E775" s="1">
        <v>0</v>
      </c>
      <c r="F775" s="1">
        <v>0</v>
      </c>
      <c r="G775" s="1" t="s">
        <v>0</v>
      </c>
      <c r="H775" s="1" t="s">
        <v>0</v>
      </c>
      <c r="I775" s="1" t="s">
        <v>0</v>
      </c>
      <c r="J775" s="1">
        <v>10</v>
      </c>
      <c r="K775" s="1">
        <v>2018</v>
      </c>
      <c r="L775" s="1"/>
      <c r="M775" s="1">
        <v>0</v>
      </c>
      <c r="N775" s="1">
        <v>0</v>
      </c>
      <c r="O775" s="1" t="e">
        <f>(N775-N774)/N774</f>
        <v>#DIV/0!</v>
      </c>
      <c r="P775" s="2">
        <v>43397</v>
      </c>
      <c r="Q775" s="1">
        <v>38</v>
      </c>
      <c r="R775" s="1"/>
    </row>
    <row r="776" spans="1:18" x14ac:dyDescent="0.2">
      <c r="A776" s="3">
        <v>775</v>
      </c>
      <c r="B776" s="2">
        <v>43405</v>
      </c>
      <c r="C776" s="1" t="s">
        <v>0</v>
      </c>
      <c r="D776" s="1" t="s">
        <v>0</v>
      </c>
      <c r="E776" s="1">
        <v>0</v>
      </c>
      <c r="F776" s="1">
        <v>0</v>
      </c>
      <c r="G776" s="1" t="s">
        <v>0</v>
      </c>
      <c r="H776" s="1" t="s">
        <v>0</v>
      </c>
      <c r="I776" s="1" t="s">
        <v>0</v>
      </c>
      <c r="J776" s="1">
        <v>11</v>
      </c>
      <c r="K776" s="1">
        <v>2018</v>
      </c>
      <c r="L776" s="1"/>
      <c r="M776" s="1">
        <v>0</v>
      </c>
      <c r="N776" s="1">
        <v>0</v>
      </c>
      <c r="O776" s="1" t="e">
        <f>(N776-N775)/N775</f>
        <v>#DIV/0!</v>
      </c>
      <c r="P776" s="2">
        <v>43405</v>
      </c>
      <c r="Q776" s="1">
        <v>39</v>
      </c>
      <c r="R776" s="1"/>
    </row>
    <row r="777" spans="1:18" x14ac:dyDescent="0.2">
      <c r="A777" s="3">
        <v>776</v>
      </c>
      <c r="B777" s="2">
        <v>43413</v>
      </c>
      <c r="C777" s="1">
        <v>7.2014813489736401E-2</v>
      </c>
      <c r="D777" s="1">
        <v>6.4725971470276505E-2</v>
      </c>
      <c r="E777" s="1">
        <v>0</v>
      </c>
      <c r="F777" s="1">
        <v>0</v>
      </c>
      <c r="G777" s="1" t="s">
        <v>0</v>
      </c>
      <c r="H777" s="1" t="s">
        <v>0</v>
      </c>
      <c r="I777" s="1" t="s">
        <v>0</v>
      </c>
      <c r="J777" s="1">
        <v>11</v>
      </c>
      <c r="K777" s="1">
        <v>2018</v>
      </c>
      <c r="L777" s="1"/>
      <c r="M777" s="1">
        <v>0</v>
      </c>
      <c r="N777" s="1">
        <v>0</v>
      </c>
      <c r="O777" s="1" t="e">
        <f>(N777-N776)/N776</f>
        <v>#DIV/0!</v>
      </c>
      <c r="P777" s="2">
        <v>43413</v>
      </c>
      <c r="Q777" s="1">
        <v>40</v>
      </c>
      <c r="R777" s="1"/>
    </row>
    <row r="778" spans="1:18" x14ac:dyDescent="0.2">
      <c r="A778" s="3">
        <v>777</v>
      </c>
      <c r="B778" s="2">
        <v>43421</v>
      </c>
      <c r="C778" s="1">
        <v>5.6725769243653697E-2</v>
      </c>
      <c r="D778" s="1">
        <v>4.5442409813404097E-2</v>
      </c>
      <c r="E778" s="1">
        <v>0</v>
      </c>
      <c r="F778" s="1">
        <v>0</v>
      </c>
      <c r="G778" s="1" t="s">
        <v>0</v>
      </c>
      <c r="H778" s="1" t="s">
        <v>0</v>
      </c>
      <c r="I778" s="1" t="s">
        <v>0</v>
      </c>
      <c r="J778" s="1">
        <v>11</v>
      </c>
      <c r="K778" s="1">
        <v>2018</v>
      </c>
      <c r="L778" s="1"/>
      <c r="M778" s="1">
        <v>0</v>
      </c>
      <c r="N778" s="1">
        <v>0</v>
      </c>
      <c r="O778" s="1" t="e">
        <f>(N778-N777)/N777</f>
        <v>#DIV/0!</v>
      </c>
      <c r="P778" s="2">
        <v>43421</v>
      </c>
      <c r="Q778" s="1">
        <v>41</v>
      </c>
      <c r="R778" s="1"/>
    </row>
    <row r="779" spans="1:18" x14ac:dyDescent="0.2">
      <c r="A779" s="3">
        <v>778</v>
      </c>
      <c r="B779" s="2">
        <v>43429</v>
      </c>
      <c r="C779" s="1">
        <v>5.9457089715791001E-2</v>
      </c>
      <c r="D779" s="1">
        <v>6.4567378411690399E-2</v>
      </c>
      <c r="E779" s="1">
        <v>0</v>
      </c>
      <c r="F779" s="1">
        <v>0</v>
      </c>
      <c r="G779" s="1" t="s">
        <v>0</v>
      </c>
      <c r="H779" s="1" t="s">
        <v>0</v>
      </c>
      <c r="I779" s="1" t="s">
        <v>0</v>
      </c>
      <c r="J779" s="1">
        <v>11</v>
      </c>
      <c r="K779" s="1">
        <v>2018</v>
      </c>
      <c r="L779" s="1"/>
      <c r="M779" s="1">
        <v>0</v>
      </c>
      <c r="N779" s="1">
        <v>0</v>
      </c>
      <c r="O779" s="1" t="e">
        <f>(N779-N778)/N778</f>
        <v>#DIV/0!</v>
      </c>
      <c r="P779" s="2">
        <v>43429</v>
      </c>
      <c r="Q779" s="1">
        <v>42</v>
      </c>
      <c r="R779" s="1"/>
    </row>
    <row r="780" spans="1:18" x14ac:dyDescent="0.2">
      <c r="A780" s="3">
        <v>779</v>
      </c>
      <c r="B780" s="2">
        <v>43437</v>
      </c>
      <c r="C780" s="1" t="s">
        <v>0</v>
      </c>
      <c r="D780" s="1" t="s">
        <v>0</v>
      </c>
      <c r="E780" s="1">
        <v>0</v>
      </c>
      <c r="F780" s="1">
        <v>0</v>
      </c>
      <c r="G780" s="1" t="s">
        <v>0</v>
      </c>
      <c r="H780" s="1" t="s">
        <v>0</v>
      </c>
      <c r="I780" s="1" t="s">
        <v>0</v>
      </c>
      <c r="J780" s="1">
        <v>12</v>
      </c>
      <c r="K780" s="1">
        <v>2018</v>
      </c>
      <c r="L780" s="1"/>
      <c r="M780" s="1">
        <v>0</v>
      </c>
      <c r="N780" s="1">
        <v>0</v>
      </c>
      <c r="O780" s="1" t="e">
        <f>(N780-N779)/N779</f>
        <v>#DIV/0!</v>
      </c>
      <c r="P780" s="2">
        <v>43437</v>
      </c>
      <c r="Q780" s="1">
        <v>43</v>
      </c>
      <c r="R780" s="1"/>
    </row>
    <row r="781" spans="1:18" x14ac:dyDescent="0.2">
      <c r="A781" s="3">
        <v>780</v>
      </c>
      <c r="B781" s="2">
        <v>43445</v>
      </c>
      <c r="C781" s="1">
        <v>5.3078092634677901E-2</v>
      </c>
      <c r="D781" s="1" t="s">
        <v>0</v>
      </c>
      <c r="E781" s="1">
        <v>0</v>
      </c>
      <c r="F781" s="1">
        <v>0</v>
      </c>
      <c r="G781" s="1" t="s">
        <v>0</v>
      </c>
      <c r="H781" s="1" t="s">
        <v>0</v>
      </c>
      <c r="I781" s="1" t="s">
        <v>0</v>
      </c>
      <c r="J781" s="1">
        <v>12</v>
      </c>
      <c r="K781" s="1">
        <v>2018</v>
      </c>
      <c r="L781" s="1"/>
      <c r="M781" s="1">
        <v>0</v>
      </c>
      <c r="N781" s="1">
        <v>0</v>
      </c>
      <c r="O781" s="1" t="e">
        <f>(N781-N780)/N780</f>
        <v>#DIV/0!</v>
      </c>
      <c r="P781" s="2">
        <v>43445</v>
      </c>
      <c r="Q781" s="1">
        <v>44</v>
      </c>
      <c r="R781" s="1"/>
    </row>
    <row r="782" spans="1:18" x14ac:dyDescent="0.2">
      <c r="A782" s="3">
        <v>781</v>
      </c>
      <c r="B782" s="2">
        <v>43453</v>
      </c>
      <c r="C782" s="1">
        <v>6.6621045892437294E-2</v>
      </c>
      <c r="D782" s="1" t="s">
        <v>0</v>
      </c>
      <c r="E782" s="1">
        <v>0</v>
      </c>
      <c r="F782" s="1">
        <v>0</v>
      </c>
      <c r="G782" s="1" t="s">
        <v>0</v>
      </c>
      <c r="H782" s="1" t="s">
        <v>0</v>
      </c>
      <c r="I782" s="1" t="s">
        <v>0</v>
      </c>
      <c r="J782" s="1">
        <v>12</v>
      </c>
      <c r="K782" s="1">
        <v>2018</v>
      </c>
      <c r="L782" s="1"/>
      <c r="M782" s="1">
        <v>0</v>
      </c>
      <c r="N782" s="1">
        <v>0</v>
      </c>
      <c r="O782" s="1" t="e">
        <f>(N782-N781)/N781</f>
        <v>#DIV/0!</v>
      </c>
      <c r="P782" s="2">
        <v>43453</v>
      </c>
      <c r="Q782" s="1">
        <v>45</v>
      </c>
      <c r="R782" s="1"/>
    </row>
    <row r="783" spans="1:18" x14ac:dyDescent="0.2">
      <c r="A783" s="3">
        <v>782</v>
      </c>
      <c r="B783" s="2">
        <v>43461</v>
      </c>
      <c r="C783" s="1">
        <v>7.6271840230082003E-2</v>
      </c>
      <c r="D783" s="1">
        <v>7.6927361389001206E-2</v>
      </c>
      <c r="E783" s="1">
        <v>0</v>
      </c>
      <c r="F783" s="1">
        <v>0</v>
      </c>
      <c r="G783" s="1" t="s">
        <v>0</v>
      </c>
      <c r="H783" s="1" t="s">
        <v>0</v>
      </c>
      <c r="I783" s="1" t="s">
        <v>0</v>
      </c>
      <c r="J783" s="1">
        <v>12</v>
      </c>
      <c r="K783" s="1">
        <v>2018</v>
      </c>
      <c r="L783" s="1"/>
      <c r="M783" s="1">
        <v>0</v>
      </c>
      <c r="N783" s="1">
        <v>0</v>
      </c>
      <c r="O783" s="1" t="e">
        <f>(N783-N782)/N782</f>
        <v>#DIV/0!</v>
      </c>
      <c r="P783" s="2">
        <v>43461</v>
      </c>
      <c r="Q783" s="1">
        <v>46</v>
      </c>
      <c r="R783" s="1"/>
    </row>
  </sheetData>
  <conditionalFormatting sqref="N1:N1048576 M1:M19 L20:L26 M27:M29 L30:L34 M35:M78 L79:L84 M85:M126 L127:L129 M130:M131 L132:L133 M134:M165 L218:L221 M222:M267 L268:L272 M273:M348 L349:L350 M351:M352 L353:L359 M360:M399 L400:L410 M411:M437 L438:L448 L166:L171 M172:M217 M449 L450:L453 M454:M485 L486:L498 M499:M501 L502:L507 M508:M525 L526:L532 M533:M537 L538:L545 M546:M579 L580:L584 M585 L586:L598 M599:M617 L618:L623 M624:M625 L626:L632 M633 L634:L639 M640:M666 L667:L679 M680:M681 L682:L683 M684:M708 L709:L714 M715 L716:L732 M733:M756 L757:L762 M763:M764 M766:M1048576 L765">
    <cfRule type="cellIs" dxfId="0" priority="1" operator="greaterThan">
      <formula>0.9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FEE3-FB6D-5149-B3FE-A93A793FDD9F}">
  <dimension ref="A1:L30"/>
  <sheetViews>
    <sheetView tabSelected="1" topLeftCell="E1" zoomScale="143" workbookViewId="0">
      <selection activeCell="F9" sqref="F9"/>
    </sheetView>
  </sheetViews>
  <sheetFormatPr baseColWidth="10" defaultRowHeight="16" x14ac:dyDescent="0.2"/>
  <cols>
    <col min="2" max="2" width="13.5" customWidth="1"/>
    <col min="3" max="3" width="13.6640625" customWidth="1"/>
    <col min="4" max="4" width="11.1640625" customWidth="1"/>
    <col min="5" max="5" width="12" bestFit="1" customWidth="1"/>
    <col min="6" max="6" width="11.1640625" bestFit="1" customWidth="1"/>
    <col min="7" max="7" width="11.1640625" customWidth="1"/>
    <col min="10" max="10" width="12.33203125" customWidth="1"/>
  </cols>
  <sheetData>
    <row r="1" spans="1:12" x14ac:dyDescent="0.2">
      <c r="B1" t="s">
        <v>39</v>
      </c>
      <c r="C1" t="s">
        <v>38</v>
      </c>
      <c r="D1" t="s">
        <v>37</v>
      </c>
      <c r="E1" t="s">
        <v>36</v>
      </c>
      <c r="F1" t="s">
        <v>35</v>
      </c>
      <c r="G1" s="16" t="s">
        <v>34</v>
      </c>
      <c r="H1" s="16" t="s">
        <v>33</v>
      </c>
      <c r="J1" t="s">
        <v>32</v>
      </c>
      <c r="K1" t="s">
        <v>31</v>
      </c>
      <c r="L1" t="s">
        <v>30</v>
      </c>
    </row>
    <row r="2" spans="1:12" x14ac:dyDescent="0.2">
      <c r="A2">
        <v>2002</v>
      </c>
      <c r="B2">
        <v>2</v>
      </c>
      <c r="C2" s="14">
        <v>45778</v>
      </c>
      <c r="D2" s="14">
        <v>41091</v>
      </c>
      <c r="E2" s="14">
        <v>41487</v>
      </c>
      <c r="F2" s="14">
        <v>41883</v>
      </c>
      <c r="G2" s="14"/>
      <c r="I2">
        <v>1</v>
      </c>
      <c r="J2" s="13">
        <v>37401</v>
      </c>
      <c r="K2" s="13">
        <v>37449</v>
      </c>
      <c r="L2">
        <f>K2-J2</f>
        <v>48</v>
      </c>
    </row>
    <row r="3" spans="1:12" x14ac:dyDescent="0.2">
      <c r="A3">
        <v>2003</v>
      </c>
      <c r="B3">
        <v>1</v>
      </c>
      <c r="C3" s="14">
        <v>38961</v>
      </c>
      <c r="D3" s="14">
        <v>37196</v>
      </c>
      <c r="I3">
        <v>2</v>
      </c>
      <c r="J3" s="13">
        <v>37481</v>
      </c>
      <c r="K3" s="13">
        <v>37513</v>
      </c>
      <c r="L3">
        <f>K3-J3</f>
        <v>32</v>
      </c>
    </row>
    <row r="4" spans="1:12" x14ac:dyDescent="0.2">
      <c r="A4">
        <v>2004</v>
      </c>
      <c r="B4">
        <v>1</v>
      </c>
      <c r="C4" t="s">
        <v>29</v>
      </c>
      <c r="D4" s="14">
        <v>39753</v>
      </c>
      <c r="I4">
        <v>3</v>
      </c>
      <c r="J4" s="13">
        <v>37870</v>
      </c>
      <c r="K4" s="13">
        <v>37910</v>
      </c>
      <c r="L4">
        <f>K4-J4</f>
        <v>40</v>
      </c>
    </row>
    <row r="5" spans="1:12" x14ac:dyDescent="0.2">
      <c r="A5">
        <v>2005</v>
      </c>
      <c r="B5">
        <v>1</v>
      </c>
      <c r="C5" s="14">
        <v>46935</v>
      </c>
      <c r="D5" s="14">
        <v>45566</v>
      </c>
      <c r="I5">
        <v>4</v>
      </c>
      <c r="J5" s="13" t="s">
        <v>28</v>
      </c>
      <c r="K5" s="5">
        <v>38267</v>
      </c>
      <c r="L5" t="s">
        <v>27</v>
      </c>
    </row>
    <row r="6" spans="1:12" x14ac:dyDescent="0.2">
      <c r="A6" s="15">
        <v>2006</v>
      </c>
      <c r="B6" t="s">
        <v>21</v>
      </c>
      <c r="C6" s="14">
        <v>41883</v>
      </c>
      <c r="D6" t="s">
        <v>20</v>
      </c>
      <c r="I6">
        <v>5</v>
      </c>
      <c r="J6" s="5">
        <v>38291</v>
      </c>
      <c r="K6" s="6">
        <v>38299</v>
      </c>
      <c r="L6">
        <f>K6-J6</f>
        <v>8</v>
      </c>
    </row>
    <row r="7" spans="1:12" x14ac:dyDescent="0.2">
      <c r="A7" s="15">
        <v>2007</v>
      </c>
      <c r="B7" t="s">
        <v>21</v>
      </c>
      <c r="C7" t="s">
        <v>26</v>
      </c>
      <c r="D7" s="14">
        <v>43040</v>
      </c>
      <c r="I7">
        <v>6</v>
      </c>
      <c r="J7" s="13">
        <v>38561</v>
      </c>
      <c r="K7" s="5">
        <v>38601</v>
      </c>
      <c r="L7">
        <f>K7-J7</f>
        <v>40</v>
      </c>
    </row>
    <row r="8" spans="1:12" x14ac:dyDescent="0.2">
      <c r="A8">
        <v>2008</v>
      </c>
      <c r="B8">
        <v>0</v>
      </c>
      <c r="I8">
        <v>7</v>
      </c>
      <c r="J8" s="13">
        <v>38974</v>
      </c>
      <c r="K8" s="13" t="s">
        <v>25</v>
      </c>
      <c r="L8" t="s">
        <v>24</v>
      </c>
    </row>
    <row r="9" spans="1:12" x14ac:dyDescent="0.2">
      <c r="A9">
        <v>2009</v>
      </c>
      <c r="B9">
        <v>1</v>
      </c>
      <c r="C9" s="14">
        <v>44013</v>
      </c>
      <c r="D9" s="14">
        <v>39722</v>
      </c>
      <c r="I9">
        <v>8</v>
      </c>
      <c r="J9" s="13" t="s">
        <v>23</v>
      </c>
      <c r="K9" s="13">
        <v>39403</v>
      </c>
      <c r="L9" t="s">
        <v>22</v>
      </c>
    </row>
    <row r="10" spans="1:12" x14ac:dyDescent="0.2">
      <c r="A10">
        <v>2010</v>
      </c>
      <c r="B10">
        <v>1</v>
      </c>
      <c r="C10" s="14">
        <v>38961</v>
      </c>
      <c r="D10" s="14">
        <v>45566</v>
      </c>
      <c r="I10">
        <v>9</v>
      </c>
      <c r="J10" s="13">
        <v>40014</v>
      </c>
      <c r="K10" s="5">
        <v>40022</v>
      </c>
      <c r="L10">
        <f>K10-J10</f>
        <v>8</v>
      </c>
    </row>
    <row r="11" spans="1:12" x14ac:dyDescent="0.2">
      <c r="A11">
        <v>2011</v>
      </c>
      <c r="B11">
        <v>2</v>
      </c>
      <c r="C11" s="14">
        <v>46174</v>
      </c>
      <c r="D11" s="14">
        <v>41883</v>
      </c>
      <c r="E11" s="14">
        <v>11202</v>
      </c>
      <c r="F11" s="14">
        <v>40118</v>
      </c>
      <c r="G11" s="14"/>
      <c r="I11">
        <v>10</v>
      </c>
      <c r="J11" s="5">
        <v>40046</v>
      </c>
      <c r="K11" s="5">
        <v>40094</v>
      </c>
      <c r="L11">
        <f>K11-J11</f>
        <v>48</v>
      </c>
    </row>
    <row r="12" spans="1:12" x14ac:dyDescent="0.2">
      <c r="A12">
        <v>2012</v>
      </c>
      <c r="B12">
        <v>2</v>
      </c>
      <c r="C12" s="14">
        <v>40725</v>
      </c>
      <c r="D12" s="14">
        <v>42278</v>
      </c>
      <c r="E12" s="14">
        <v>42675</v>
      </c>
      <c r="F12" s="14">
        <v>46357</v>
      </c>
      <c r="G12" s="14"/>
      <c r="I12">
        <v>11</v>
      </c>
      <c r="J12" s="13">
        <v>40427</v>
      </c>
      <c r="K12" s="5">
        <v>40499</v>
      </c>
      <c r="L12">
        <f>K12-J12</f>
        <v>72</v>
      </c>
    </row>
    <row r="13" spans="1:12" x14ac:dyDescent="0.2">
      <c r="A13">
        <v>2013</v>
      </c>
      <c r="B13">
        <v>2</v>
      </c>
      <c r="C13" s="14">
        <v>45778</v>
      </c>
      <c r="D13" s="14">
        <v>41487</v>
      </c>
      <c r="E13" s="14">
        <v>47331</v>
      </c>
      <c r="F13" s="14">
        <v>45566</v>
      </c>
      <c r="G13" s="14"/>
      <c r="I13">
        <v>12</v>
      </c>
      <c r="J13" s="13">
        <v>40720</v>
      </c>
      <c r="K13" s="13">
        <v>40800</v>
      </c>
      <c r="L13">
        <f>K13-J13</f>
        <v>80</v>
      </c>
    </row>
    <row r="14" spans="1:12" x14ac:dyDescent="0.2">
      <c r="A14">
        <v>2014</v>
      </c>
      <c r="B14">
        <v>2</v>
      </c>
      <c r="C14" s="14">
        <v>46935</v>
      </c>
      <c r="D14" s="14">
        <v>47331</v>
      </c>
      <c r="E14" s="14">
        <v>41883</v>
      </c>
      <c r="F14" s="14">
        <v>43800</v>
      </c>
      <c r="G14" s="14"/>
      <c r="I14">
        <v>13</v>
      </c>
      <c r="J14" s="5">
        <v>40816</v>
      </c>
      <c r="K14" s="5">
        <v>40840</v>
      </c>
      <c r="L14">
        <f>K14-J14</f>
        <v>24</v>
      </c>
    </row>
    <row r="15" spans="1:12" x14ac:dyDescent="0.2">
      <c r="A15">
        <v>2015</v>
      </c>
      <c r="B15">
        <v>3</v>
      </c>
      <c r="C15" s="14">
        <v>45778</v>
      </c>
      <c r="D15" s="14">
        <v>38169</v>
      </c>
      <c r="E15" s="14">
        <v>46935</v>
      </c>
      <c r="F15" s="14">
        <v>41883</v>
      </c>
      <c r="G15" s="14">
        <v>11202</v>
      </c>
      <c r="H15" s="14">
        <v>40878</v>
      </c>
      <c r="I15">
        <v>14</v>
      </c>
      <c r="J15" s="13">
        <v>41101</v>
      </c>
      <c r="K15" s="13">
        <v>41197</v>
      </c>
      <c r="L15">
        <f>K15-J15</f>
        <v>96</v>
      </c>
    </row>
    <row r="16" spans="1:12" x14ac:dyDescent="0.2">
      <c r="A16">
        <v>2016</v>
      </c>
      <c r="B16">
        <v>2</v>
      </c>
      <c r="C16" s="14">
        <v>42887</v>
      </c>
      <c r="D16" s="14">
        <v>44440</v>
      </c>
      <c r="E16" s="14">
        <v>42278</v>
      </c>
      <c r="F16" s="14">
        <v>45200</v>
      </c>
      <c r="I16">
        <v>15</v>
      </c>
      <c r="J16" s="13">
        <v>41229</v>
      </c>
      <c r="K16" s="13">
        <v>41269</v>
      </c>
      <c r="L16">
        <f>K16-J16</f>
        <v>40</v>
      </c>
    </row>
    <row r="17" spans="1:12" x14ac:dyDescent="0.2">
      <c r="A17">
        <v>2017</v>
      </c>
      <c r="B17">
        <v>2</v>
      </c>
      <c r="C17" s="14">
        <v>42856</v>
      </c>
      <c r="D17" s="14">
        <v>46174</v>
      </c>
      <c r="E17" s="14">
        <v>41091</v>
      </c>
      <c r="F17" s="14">
        <v>43040</v>
      </c>
      <c r="I17">
        <v>16</v>
      </c>
      <c r="J17" s="13">
        <v>41419</v>
      </c>
      <c r="K17" s="5">
        <v>41467</v>
      </c>
      <c r="L17">
        <f>K17-J17</f>
        <v>48</v>
      </c>
    </row>
    <row r="18" spans="1:12" x14ac:dyDescent="0.2">
      <c r="A18">
        <v>2018</v>
      </c>
      <c r="B18" t="s">
        <v>21</v>
      </c>
      <c r="C18" t="s">
        <v>20</v>
      </c>
      <c r="D18" t="s">
        <v>20</v>
      </c>
      <c r="I18">
        <v>17</v>
      </c>
      <c r="J18" s="13">
        <v>41515</v>
      </c>
      <c r="K18" s="13">
        <v>41571</v>
      </c>
      <c r="L18">
        <f>K18-J18</f>
        <v>56</v>
      </c>
    </row>
    <row r="19" spans="1:12" x14ac:dyDescent="0.2">
      <c r="I19">
        <v>18</v>
      </c>
      <c r="J19" s="13">
        <v>41848</v>
      </c>
      <c r="K19" s="13">
        <v>41880</v>
      </c>
      <c r="L19">
        <f>K19-J19</f>
        <v>32</v>
      </c>
    </row>
    <row r="20" spans="1:12" x14ac:dyDescent="0.2">
      <c r="I20">
        <v>19</v>
      </c>
      <c r="J20" s="13">
        <v>41896</v>
      </c>
      <c r="K20" s="13">
        <v>41992</v>
      </c>
      <c r="L20">
        <f>K20-J20</f>
        <v>96</v>
      </c>
    </row>
    <row r="21" spans="1:12" x14ac:dyDescent="0.2">
      <c r="I21">
        <v>20</v>
      </c>
      <c r="J21" s="13">
        <v>42149</v>
      </c>
      <c r="K21" s="13">
        <v>42189</v>
      </c>
      <c r="L21">
        <f>K21-J21</f>
        <v>40</v>
      </c>
    </row>
    <row r="22" spans="1:12" x14ac:dyDescent="0.2">
      <c r="I22">
        <v>21</v>
      </c>
      <c r="J22" s="13">
        <v>42213</v>
      </c>
      <c r="K22" s="13">
        <v>42261</v>
      </c>
      <c r="L22">
        <f>K22-J22</f>
        <v>48</v>
      </c>
    </row>
    <row r="23" spans="1:12" x14ac:dyDescent="0.2">
      <c r="I23">
        <v>22</v>
      </c>
      <c r="J23" s="13">
        <v>42277</v>
      </c>
      <c r="K23" s="5">
        <v>42317</v>
      </c>
      <c r="L23">
        <f>K23-J23</f>
        <v>40</v>
      </c>
    </row>
    <row r="24" spans="1:12" x14ac:dyDescent="0.2">
      <c r="I24">
        <v>23</v>
      </c>
      <c r="J24" s="13">
        <v>42538</v>
      </c>
      <c r="K24" s="13">
        <v>42634</v>
      </c>
      <c r="L24">
        <f>K24-J24</f>
        <v>96</v>
      </c>
    </row>
    <row r="25" spans="1:12" x14ac:dyDescent="0.2">
      <c r="I25">
        <v>24</v>
      </c>
      <c r="J25" s="13">
        <v>42658</v>
      </c>
      <c r="K25" s="13">
        <v>42666</v>
      </c>
      <c r="L25">
        <f>K25-J25</f>
        <v>8</v>
      </c>
    </row>
    <row r="26" spans="1:12" x14ac:dyDescent="0.2">
      <c r="I26">
        <v>25</v>
      </c>
      <c r="J26" s="13">
        <v>42872</v>
      </c>
      <c r="K26" s="13">
        <v>42912</v>
      </c>
      <c r="L26">
        <f>K26-J26</f>
        <v>40</v>
      </c>
    </row>
    <row r="27" spans="1:12" x14ac:dyDescent="0.2">
      <c r="I27">
        <v>26</v>
      </c>
      <c r="J27" s="13">
        <v>42928</v>
      </c>
      <c r="K27" s="13">
        <v>43056</v>
      </c>
      <c r="L27">
        <f>K27-J27</f>
        <v>128</v>
      </c>
    </row>
    <row r="28" spans="1:12" x14ac:dyDescent="0.2">
      <c r="I28">
        <v>27</v>
      </c>
      <c r="J28" s="13" t="s">
        <v>19</v>
      </c>
      <c r="K28" s="5">
        <v>43293</v>
      </c>
      <c r="L28" t="s">
        <v>18</v>
      </c>
    </row>
    <row r="29" spans="1:12" x14ac:dyDescent="0.2">
      <c r="I29">
        <v>28</v>
      </c>
      <c r="J29" s="5">
        <v>43317</v>
      </c>
      <c r="K29" s="13" t="s">
        <v>17</v>
      </c>
      <c r="L29" t="s">
        <v>16</v>
      </c>
    </row>
    <row r="30" spans="1:12" x14ac:dyDescent="0.2">
      <c r="L30">
        <f>AVERAGE(L2:L29)</f>
        <v>50.782608695652172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 data</vt:lpstr>
      <vt:lpstr>peak seasons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2021-07-10T14:24:59Z</dcterms:created>
  <dcterms:modified xsi:type="dcterms:W3CDTF">2021-07-10T14:25:42Z</dcterms:modified>
</cp:coreProperties>
</file>