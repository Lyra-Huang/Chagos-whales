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ra/Desktop/Thesis/Data/Analysed data/"/>
    </mc:Choice>
  </mc:AlternateContent>
  <xr:revisionPtr revIDLastSave="0" documentId="8_{32CC44F2-DBF0-1A45-8E49-FC9D4864AD96}" xr6:coauthVersionLast="47" xr6:coauthVersionMax="47" xr10:uidLastSave="{00000000-0000-0000-0000-000000000000}"/>
  <bookViews>
    <workbookView xWindow="580" yWindow="500" windowWidth="24020" windowHeight="14000" activeTab="1" xr2:uid="{DCC51659-A7F5-AC48-9152-9C6916A71906}"/>
  </bookViews>
  <sheets>
    <sheet name="nw data" sheetId="2" r:id="rId1"/>
    <sheet name="Peak Season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8" i="3" s="1"/>
  <c r="K11" i="3"/>
  <c r="K12" i="3"/>
  <c r="K13" i="3"/>
  <c r="K14" i="3"/>
  <c r="K15" i="3"/>
  <c r="K16" i="3"/>
  <c r="T2" i="2"/>
  <c r="Q3" i="2"/>
  <c r="T3" i="2"/>
  <c r="Q4" i="2"/>
  <c r="T4" i="2"/>
  <c r="Q5" i="2"/>
  <c r="T5" i="2"/>
  <c r="Q6" i="2"/>
  <c r="T6" i="2"/>
  <c r="Q7" i="2"/>
  <c r="T7" i="2"/>
  <c r="Q8" i="2"/>
  <c r="T8" i="2"/>
  <c r="Q9" i="2"/>
  <c r="T9" i="2"/>
  <c r="Q10" i="2"/>
  <c r="T10" i="2"/>
  <c r="Q11" i="2"/>
  <c r="T11" i="2"/>
  <c r="Q12" i="2"/>
  <c r="T12" i="2"/>
  <c r="Q13" i="2"/>
  <c r="T13" i="2"/>
  <c r="Q14" i="2"/>
  <c r="T14" i="2"/>
  <c r="Q15" i="2"/>
  <c r="T15" i="2"/>
  <c r="Q16" i="2"/>
  <c r="T16" i="2"/>
  <c r="Q17" i="2"/>
  <c r="T17" i="2"/>
  <c r="Q18" i="2"/>
  <c r="T18" i="2"/>
  <c r="Q19" i="2"/>
  <c r="T19" i="2"/>
  <c r="Q20" i="2"/>
  <c r="T20" i="2"/>
  <c r="Q21" i="2"/>
  <c r="T21" i="2"/>
  <c r="Q22" i="2"/>
  <c r="T22" i="2"/>
  <c r="Q23" i="2"/>
  <c r="T23" i="2"/>
  <c r="Q24" i="2"/>
  <c r="T24" i="2"/>
  <c r="Q25" i="2"/>
  <c r="T25" i="2"/>
  <c r="Q26" i="2"/>
  <c r="T26" i="2"/>
  <c r="Q27" i="2"/>
  <c r="T27" i="2"/>
  <c r="Q28" i="2"/>
  <c r="T28" i="2"/>
  <c r="Q29" i="2"/>
  <c r="T29" i="2"/>
  <c r="Q30" i="2"/>
  <c r="T30" i="2"/>
  <c r="Q31" i="2"/>
  <c r="T31" i="2"/>
  <c r="Q32" i="2"/>
  <c r="T32" i="2"/>
  <c r="Q33" i="2"/>
  <c r="T33" i="2"/>
  <c r="Q34" i="2"/>
  <c r="T34" i="2"/>
  <c r="Q35" i="2"/>
  <c r="T35" i="2"/>
  <c r="Q36" i="2"/>
  <c r="T36" i="2"/>
  <c r="Q37" i="2"/>
  <c r="T37" i="2"/>
  <c r="Q38" i="2"/>
  <c r="T38" i="2"/>
  <c r="Q39" i="2"/>
  <c r="T39" i="2"/>
  <c r="Q40" i="2"/>
  <c r="T40" i="2"/>
  <c r="Q41" i="2"/>
  <c r="T41" i="2"/>
  <c r="Q42" i="2"/>
  <c r="T42" i="2"/>
  <c r="Q43" i="2"/>
  <c r="T43" i="2"/>
  <c r="Q44" i="2"/>
  <c r="T44" i="2"/>
  <c r="Q45" i="2"/>
  <c r="T45" i="2"/>
  <c r="Q46" i="2"/>
  <c r="T46" i="2"/>
  <c r="Q47" i="2"/>
  <c r="T47" i="2"/>
  <c r="Q48" i="2"/>
  <c r="T48" i="2"/>
  <c r="Q49" i="2"/>
  <c r="T49" i="2"/>
  <c r="Q50" i="2"/>
  <c r="T50" i="2"/>
  <c r="Q51" i="2"/>
  <c r="T51" i="2"/>
  <c r="Q52" i="2"/>
  <c r="T52" i="2"/>
  <c r="Q53" i="2"/>
  <c r="T53" i="2"/>
  <c r="Q54" i="2"/>
  <c r="T54" i="2"/>
  <c r="Q55" i="2"/>
  <c r="T55" i="2"/>
  <c r="Q56" i="2"/>
  <c r="T56" i="2"/>
  <c r="Q57" i="2"/>
  <c r="T57" i="2"/>
  <c r="Q58" i="2"/>
  <c r="T58" i="2"/>
  <c r="Q59" i="2"/>
  <c r="T59" i="2"/>
  <c r="Q60" i="2"/>
  <c r="T60" i="2"/>
  <c r="Q61" i="2"/>
  <c r="T61" i="2"/>
  <c r="Q62" i="2"/>
  <c r="T62" i="2"/>
  <c r="Q63" i="2"/>
  <c r="T63" i="2"/>
  <c r="Q64" i="2"/>
  <c r="T64" i="2"/>
  <c r="Q65" i="2"/>
  <c r="T65" i="2"/>
  <c r="Q66" i="2"/>
  <c r="T66" i="2"/>
  <c r="Q67" i="2"/>
  <c r="T67" i="2"/>
  <c r="Q68" i="2"/>
  <c r="T68" i="2"/>
  <c r="Q69" i="2"/>
  <c r="T69" i="2"/>
  <c r="Q70" i="2"/>
  <c r="T70" i="2"/>
  <c r="Q71" i="2"/>
  <c r="T71" i="2"/>
  <c r="Q72" i="2"/>
  <c r="T72" i="2"/>
  <c r="Q73" i="2"/>
  <c r="T73" i="2"/>
  <c r="Q74" i="2"/>
  <c r="T74" i="2"/>
  <c r="Q75" i="2"/>
  <c r="T75" i="2"/>
  <c r="Q76" i="2"/>
  <c r="T76" i="2"/>
  <c r="Q77" i="2"/>
  <c r="T77" i="2"/>
  <c r="Q78" i="2"/>
  <c r="T78" i="2"/>
  <c r="Q79" i="2"/>
  <c r="T79" i="2"/>
  <c r="Q80" i="2"/>
  <c r="T80" i="2"/>
  <c r="Q81" i="2"/>
  <c r="T81" i="2"/>
  <c r="Q82" i="2"/>
  <c r="T82" i="2"/>
  <c r="Q83" i="2"/>
  <c r="T83" i="2"/>
  <c r="Q84" i="2"/>
  <c r="T84" i="2"/>
  <c r="Q85" i="2"/>
  <c r="T85" i="2"/>
  <c r="Q86" i="2"/>
  <c r="T86" i="2"/>
  <c r="Q87" i="2"/>
  <c r="T87" i="2"/>
  <c r="Q88" i="2"/>
  <c r="T88" i="2"/>
  <c r="Q89" i="2"/>
  <c r="T89" i="2"/>
  <c r="Q90" i="2"/>
  <c r="T90" i="2"/>
  <c r="Q91" i="2"/>
  <c r="T91" i="2"/>
  <c r="Q92" i="2"/>
  <c r="T92" i="2"/>
  <c r="Q93" i="2"/>
  <c r="T93" i="2"/>
  <c r="Q94" i="2"/>
  <c r="T94" i="2"/>
  <c r="Q95" i="2"/>
  <c r="T95" i="2"/>
  <c r="Q96" i="2"/>
  <c r="T96" i="2"/>
  <c r="Q97" i="2"/>
  <c r="T97" i="2"/>
  <c r="Q98" i="2"/>
  <c r="T98" i="2"/>
  <c r="Q99" i="2"/>
  <c r="T99" i="2"/>
  <c r="Q100" i="2"/>
  <c r="T100" i="2"/>
  <c r="Q101" i="2"/>
  <c r="T101" i="2"/>
  <c r="Q102" i="2"/>
  <c r="T102" i="2"/>
  <c r="Q103" i="2"/>
  <c r="T103" i="2"/>
  <c r="Q104" i="2"/>
  <c r="T104" i="2"/>
  <c r="Q105" i="2"/>
  <c r="T105" i="2"/>
  <c r="Q106" i="2"/>
  <c r="T106" i="2"/>
  <c r="Q107" i="2"/>
  <c r="T107" i="2"/>
  <c r="Q108" i="2"/>
  <c r="T108" i="2"/>
  <c r="Q109" i="2"/>
  <c r="T109" i="2"/>
  <c r="Q110" i="2"/>
  <c r="T110" i="2"/>
  <c r="Q111" i="2"/>
  <c r="T111" i="2"/>
  <c r="Q112" i="2"/>
  <c r="T112" i="2"/>
  <c r="Q113" i="2"/>
  <c r="T113" i="2"/>
  <c r="Q114" i="2"/>
  <c r="T114" i="2"/>
  <c r="Q115" i="2"/>
  <c r="T115" i="2"/>
  <c r="Q116" i="2"/>
  <c r="T116" i="2"/>
  <c r="Q117" i="2"/>
  <c r="T117" i="2"/>
  <c r="Q118" i="2"/>
  <c r="T118" i="2"/>
  <c r="Q119" i="2"/>
  <c r="T119" i="2"/>
  <c r="Q120" i="2"/>
  <c r="T120" i="2"/>
  <c r="Q121" i="2"/>
  <c r="T121" i="2"/>
  <c r="Q122" i="2"/>
  <c r="T122" i="2"/>
  <c r="Q123" i="2"/>
  <c r="T123" i="2"/>
  <c r="Q124" i="2"/>
  <c r="T124" i="2"/>
  <c r="Q125" i="2"/>
  <c r="T125" i="2"/>
  <c r="Q126" i="2"/>
  <c r="T126" i="2"/>
  <c r="Q127" i="2"/>
  <c r="T127" i="2"/>
  <c r="Q128" i="2"/>
  <c r="T128" i="2"/>
  <c r="Q129" i="2"/>
  <c r="T129" i="2"/>
  <c r="Q130" i="2"/>
  <c r="T130" i="2"/>
  <c r="Q131" i="2"/>
  <c r="T131" i="2"/>
  <c r="Q132" i="2"/>
  <c r="T132" i="2"/>
  <c r="Q133" i="2"/>
  <c r="T133" i="2"/>
  <c r="Q134" i="2"/>
  <c r="T134" i="2"/>
  <c r="Q135" i="2"/>
  <c r="T135" i="2"/>
  <c r="Q136" i="2"/>
  <c r="T136" i="2"/>
  <c r="Q137" i="2"/>
  <c r="T137" i="2"/>
  <c r="Q138" i="2"/>
  <c r="T138" i="2"/>
  <c r="Q139" i="2"/>
  <c r="T139" i="2"/>
  <c r="Q140" i="2"/>
  <c r="T140" i="2"/>
  <c r="Q141" i="2"/>
  <c r="T141" i="2"/>
  <c r="Q142" i="2"/>
  <c r="T142" i="2"/>
  <c r="Q143" i="2"/>
  <c r="T143" i="2"/>
  <c r="Q144" i="2"/>
  <c r="T144" i="2"/>
  <c r="Q145" i="2"/>
  <c r="T145" i="2"/>
  <c r="Q146" i="2"/>
  <c r="T146" i="2"/>
  <c r="Q147" i="2"/>
  <c r="T147" i="2"/>
  <c r="Q148" i="2"/>
  <c r="T148" i="2"/>
  <c r="Q149" i="2"/>
  <c r="T149" i="2"/>
  <c r="Q150" i="2"/>
  <c r="T150" i="2"/>
  <c r="Q151" i="2"/>
  <c r="T151" i="2"/>
  <c r="Q152" i="2"/>
  <c r="T152" i="2"/>
  <c r="Q153" i="2"/>
  <c r="T153" i="2"/>
  <c r="Q154" i="2"/>
  <c r="T154" i="2"/>
  <c r="Q155" i="2"/>
  <c r="T155" i="2"/>
  <c r="Q156" i="2"/>
  <c r="T156" i="2"/>
  <c r="Q157" i="2"/>
  <c r="T157" i="2"/>
  <c r="Q158" i="2"/>
  <c r="T158" i="2"/>
  <c r="Q159" i="2"/>
  <c r="T159" i="2"/>
  <c r="Q160" i="2"/>
  <c r="T160" i="2"/>
  <c r="Q161" i="2"/>
  <c r="T161" i="2"/>
  <c r="Q162" i="2"/>
  <c r="T162" i="2"/>
  <c r="Q163" i="2"/>
  <c r="T163" i="2"/>
  <c r="Q164" i="2"/>
  <c r="T164" i="2"/>
  <c r="Q165" i="2"/>
  <c r="T165" i="2"/>
  <c r="Q166" i="2"/>
  <c r="T166" i="2"/>
  <c r="Q167" i="2"/>
  <c r="T167" i="2"/>
  <c r="Q168" i="2"/>
  <c r="T168" i="2"/>
  <c r="Q169" i="2"/>
  <c r="T169" i="2"/>
  <c r="Q170" i="2"/>
  <c r="T170" i="2"/>
  <c r="Q171" i="2"/>
  <c r="T171" i="2"/>
  <c r="Q172" i="2"/>
  <c r="T172" i="2"/>
  <c r="Q173" i="2"/>
  <c r="T173" i="2"/>
  <c r="Q174" i="2"/>
  <c r="T174" i="2"/>
  <c r="Q175" i="2"/>
  <c r="T175" i="2"/>
  <c r="Q176" i="2"/>
  <c r="T176" i="2"/>
  <c r="Q177" i="2"/>
  <c r="T177" i="2"/>
  <c r="Q178" i="2"/>
  <c r="T178" i="2"/>
  <c r="Q179" i="2"/>
  <c r="T179" i="2"/>
  <c r="Q180" i="2"/>
  <c r="T180" i="2"/>
  <c r="Q181" i="2"/>
  <c r="T181" i="2"/>
  <c r="Q182" i="2"/>
  <c r="T182" i="2"/>
  <c r="Q183" i="2"/>
  <c r="T183" i="2"/>
  <c r="Q184" i="2"/>
  <c r="T184" i="2"/>
  <c r="Q185" i="2"/>
  <c r="T185" i="2"/>
  <c r="Q186" i="2"/>
  <c r="T186" i="2"/>
  <c r="Q187" i="2"/>
  <c r="T187" i="2"/>
  <c r="Q188" i="2"/>
  <c r="T188" i="2"/>
  <c r="Q189" i="2"/>
  <c r="T189" i="2"/>
  <c r="Q190" i="2"/>
  <c r="T190" i="2"/>
  <c r="Q191" i="2"/>
  <c r="T191" i="2"/>
  <c r="Q192" i="2"/>
  <c r="T192" i="2"/>
  <c r="Q193" i="2"/>
  <c r="T193" i="2"/>
  <c r="Q194" i="2"/>
  <c r="T194" i="2"/>
  <c r="Q195" i="2"/>
  <c r="T195" i="2"/>
  <c r="Q196" i="2"/>
  <c r="T196" i="2"/>
  <c r="Q197" i="2"/>
  <c r="T197" i="2"/>
  <c r="Q198" i="2"/>
  <c r="T198" i="2"/>
  <c r="Q199" i="2"/>
  <c r="T199" i="2"/>
  <c r="Q200" i="2"/>
  <c r="T200" i="2"/>
  <c r="Q201" i="2"/>
  <c r="T201" i="2"/>
  <c r="Q202" i="2"/>
  <c r="T202" i="2"/>
  <c r="Q203" i="2"/>
  <c r="T203" i="2"/>
  <c r="Q204" i="2"/>
  <c r="T204" i="2"/>
  <c r="Q205" i="2"/>
  <c r="T205" i="2"/>
  <c r="Q206" i="2"/>
  <c r="T206" i="2"/>
  <c r="Q207" i="2"/>
  <c r="T207" i="2"/>
  <c r="Q208" i="2"/>
  <c r="T208" i="2"/>
  <c r="Q209" i="2"/>
  <c r="T209" i="2"/>
  <c r="Q210" i="2"/>
  <c r="T210" i="2"/>
  <c r="Q211" i="2"/>
  <c r="T211" i="2"/>
  <c r="Q212" i="2"/>
  <c r="T212" i="2"/>
  <c r="Q213" i="2"/>
  <c r="T213" i="2"/>
  <c r="Q214" i="2"/>
  <c r="T214" i="2"/>
  <c r="Q215" i="2"/>
  <c r="T215" i="2"/>
  <c r="Q216" i="2"/>
  <c r="T216" i="2"/>
  <c r="Q217" i="2"/>
  <c r="T217" i="2"/>
  <c r="Q218" i="2"/>
  <c r="T218" i="2"/>
  <c r="Q219" i="2"/>
  <c r="T219" i="2"/>
  <c r="Q220" i="2"/>
  <c r="T220" i="2"/>
  <c r="Q221" i="2"/>
  <c r="T221" i="2"/>
  <c r="Q222" i="2"/>
  <c r="T222" i="2"/>
  <c r="Q223" i="2"/>
  <c r="T223" i="2"/>
  <c r="Q224" i="2"/>
  <c r="T224" i="2"/>
  <c r="Q225" i="2"/>
  <c r="T225" i="2"/>
  <c r="Q226" i="2"/>
  <c r="T226" i="2"/>
  <c r="Q227" i="2"/>
  <c r="T227" i="2"/>
  <c r="Q228" i="2"/>
  <c r="T228" i="2"/>
  <c r="Q229" i="2"/>
  <c r="T229" i="2"/>
  <c r="Q230" i="2"/>
  <c r="T230" i="2"/>
  <c r="Q231" i="2"/>
  <c r="T231" i="2"/>
  <c r="Q232" i="2"/>
  <c r="T232" i="2"/>
  <c r="Q233" i="2"/>
  <c r="T233" i="2"/>
  <c r="Q234" i="2"/>
  <c r="T234" i="2"/>
  <c r="Q235" i="2"/>
  <c r="T235" i="2"/>
  <c r="Q236" i="2"/>
  <c r="T236" i="2"/>
  <c r="Q237" i="2"/>
  <c r="T237" i="2"/>
  <c r="Q238" i="2"/>
  <c r="T238" i="2"/>
  <c r="Q239" i="2"/>
  <c r="T239" i="2"/>
  <c r="Q240" i="2"/>
  <c r="T240" i="2"/>
  <c r="Q241" i="2"/>
  <c r="T241" i="2"/>
  <c r="Q242" i="2"/>
  <c r="T242" i="2"/>
  <c r="Q243" i="2"/>
  <c r="T243" i="2"/>
  <c r="Q244" i="2"/>
  <c r="T244" i="2"/>
  <c r="Q245" i="2"/>
  <c r="T245" i="2"/>
  <c r="Q246" i="2"/>
  <c r="T246" i="2"/>
  <c r="Q247" i="2"/>
  <c r="T247" i="2"/>
  <c r="Q248" i="2"/>
  <c r="T248" i="2"/>
  <c r="Q249" i="2"/>
  <c r="T249" i="2"/>
  <c r="Q250" i="2"/>
  <c r="T250" i="2"/>
  <c r="Q251" i="2"/>
  <c r="T251" i="2"/>
  <c r="Q252" i="2"/>
  <c r="T252" i="2"/>
  <c r="Q253" i="2"/>
  <c r="T253" i="2"/>
  <c r="Q254" i="2"/>
  <c r="T254" i="2"/>
  <c r="Q255" i="2"/>
  <c r="T255" i="2"/>
  <c r="Q256" i="2"/>
  <c r="T256" i="2"/>
  <c r="Q257" i="2"/>
  <c r="T257" i="2"/>
  <c r="Q258" i="2"/>
  <c r="T258" i="2"/>
  <c r="Q259" i="2"/>
  <c r="T259" i="2"/>
  <c r="Q260" i="2"/>
  <c r="T260" i="2"/>
  <c r="Q261" i="2"/>
  <c r="T261" i="2"/>
  <c r="Q262" i="2"/>
  <c r="T262" i="2"/>
  <c r="Q263" i="2"/>
  <c r="T263" i="2"/>
  <c r="Q264" i="2"/>
  <c r="T264" i="2"/>
  <c r="Q265" i="2"/>
  <c r="T265" i="2"/>
  <c r="Q266" i="2"/>
  <c r="T266" i="2"/>
  <c r="Q267" i="2"/>
  <c r="T267" i="2"/>
  <c r="Q268" i="2"/>
  <c r="T268" i="2"/>
  <c r="Q269" i="2"/>
  <c r="T269" i="2"/>
  <c r="Q270" i="2"/>
  <c r="T270" i="2"/>
  <c r="Q271" i="2"/>
  <c r="T271" i="2"/>
  <c r="Q272" i="2"/>
  <c r="T272" i="2"/>
  <c r="Q273" i="2"/>
  <c r="T273" i="2"/>
  <c r="Q274" i="2"/>
  <c r="T274" i="2"/>
  <c r="Q275" i="2"/>
  <c r="T275" i="2"/>
  <c r="Q276" i="2"/>
  <c r="T276" i="2"/>
  <c r="Q277" i="2"/>
  <c r="T277" i="2"/>
  <c r="Q278" i="2"/>
  <c r="T278" i="2"/>
  <c r="Q279" i="2"/>
  <c r="T279" i="2"/>
  <c r="Q280" i="2"/>
  <c r="T280" i="2"/>
  <c r="Q281" i="2"/>
  <c r="T281" i="2"/>
  <c r="Q282" i="2"/>
  <c r="T282" i="2"/>
  <c r="Q283" i="2"/>
  <c r="T283" i="2"/>
  <c r="Q284" i="2"/>
  <c r="T284" i="2"/>
  <c r="Q285" i="2"/>
  <c r="T285" i="2"/>
  <c r="Q286" i="2"/>
  <c r="T286" i="2"/>
  <c r="Q287" i="2"/>
  <c r="T287" i="2"/>
  <c r="Q288" i="2"/>
  <c r="T288" i="2"/>
  <c r="Q289" i="2"/>
  <c r="T289" i="2"/>
  <c r="Q290" i="2"/>
  <c r="T290" i="2"/>
  <c r="Q291" i="2"/>
  <c r="T291" i="2"/>
  <c r="Q292" i="2"/>
  <c r="T292" i="2"/>
  <c r="Q293" i="2"/>
  <c r="T293" i="2"/>
  <c r="Q294" i="2"/>
  <c r="T294" i="2"/>
  <c r="Q295" i="2"/>
  <c r="T295" i="2"/>
  <c r="Q296" i="2"/>
  <c r="T296" i="2"/>
  <c r="Q297" i="2"/>
  <c r="T297" i="2"/>
  <c r="Q298" i="2"/>
  <c r="T298" i="2"/>
  <c r="Q299" i="2"/>
  <c r="T299" i="2"/>
  <c r="Q300" i="2"/>
  <c r="T300" i="2"/>
  <c r="Q301" i="2"/>
  <c r="T301" i="2"/>
  <c r="Q302" i="2"/>
  <c r="T302" i="2"/>
  <c r="Q303" i="2"/>
  <c r="T303" i="2"/>
  <c r="Q304" i="2"/>
  <c r="T304" i="2"/>
  <c r="Q305" i="2"/>
  <c r="T305" i="2"/>
  <c r="Q306" i="2"/>
  <c r="T306" i="2"/>
  <c r="Q307" i="2"/>
  <c r="T307" i="2"/>
  <c r="Q308" i="2"/>
  <c r="T308" i="2"/>
  <c r="Q309" i="2"/>
  <c r="T309" i="2"/>
  <c r="Q310" i="2"/>
  <c r="T310" i="2"/>
  <c r="Q311" i="2"/>
  <c r="T311" i="2"/>
  <c r="Q312" i="2"/>
  <c r="T312" i="2"/>
  <c r="Q313" i="2"/>
  <c r="T313" i="2"/>
  <c r="Q314" i="2"/>
  <c r="T314" i="2"/>
  <c r="Q315" i="2"/>
  <c r="T315" i="2"/>
  <c r="Q316" i="2"/>
  <c r="T316" i="2"/>
  <c r="Q317" i="2"/>
  <c r="T317" i="2"/>
  <c r="Q318" i="2"/>
  <c r="T318" i="2"/>
  <c r="Q319" i="2"/>
  <c r="T319" i="2"/>
  <c r="Q320" i="2"/>
  <c r="T320" i="2"/>
  <c r="Q321" i="2"/>
  <c r="T321" i="2"/>
  <c r="Q322" i="2"/>
  <c r="T322" i="2"/>
  <c r="Q323" i="2"/>
  <c r="T323" i="2"/>
  <c r="Q324" i="2"/>
  <c r="T324" i="2"/>
  <c r="Q325" i="2"/>
  <c r="T325" i="2"/>
  <c r="Q326" i="2"/>
  <c r="T326" i="2"/>
  <c r="Q327" i="2"/>
  <c r="T327" i="2"/>
  <c r="Q328" i="2"/>
  <c r="T328" i="2"/>
  <c r="Q329" i="2"/>
  <c r="T329" i="2"/>
  <c r="Q330" i="2"/>
  <c r="T330" i="2"/>
  <c r="Q331" i="2"/>
  <c r="T331" i="2"/>
  <c r="Q332" i="2"/>
  <c r="T332" i="2"/>
  <c r="Q333" i="2"/>
  <c r="T333" i="2"/>
  <c r="Q334" i="2"/>
  <c r="T334" i="2"/>
  <c r="Q335" i="2"/>
  <c r="T335" i="2"/>
  <c r="Q336" i="2"/>
  <c r="T336" i="2"/>
  <c r="Q337" i="2"/>
  <c r="T337" i="2"/>
  <c r="Q338" i="2"/>
  <c r="T338" i="2"/>
  <c r="Q339" i="2"/>
  <c r="T339" i="2"/>
  <c r="Q340" i="2"/>
  <c r="T340" i="2"/>
  <c r="Q341" i="2"/>
  <c r="T341" i="2"/>
  <c r="Q342" i="2"/>
  <c r="T342" i="2"/>
  <c r="Q343" i="2"/>
  <c r="T343" i="2"/>
  <c r="Q344" i="2"/>
  <c r="T344" i="2"/>
  <c r="Q345" i="2"/>
  <c r="T345" i="2"/>
  <c r="Q346" i="2"/>
  <c r="T346" i="2"/>
  <c r="Q347" i="2"/>
  <c r="T347" i="2"/>
  <c r="Q348" i="2"/>
  <c r="T348" i="2"/>
  <c r="Q349" i="2"/>
  <c r="T349" i="2"/>
  <c r="Q350" i="2"/>
  <c r="T350" i="2"/>
  <c r="Q351" i="2"/>
  <c r="T351" i="2"/>
  <c r="Q352" i="2"/>
  <c r="T352" i="2"/>
  <c r="Q353" i="2"/>
  <c r="T353" i="2"/>
  <c r="Q354" i="2"/>
  <c r="T354" i="2"/>
  <c r="Q355" i="2"/>
  <c r="T355" i="2"/>
  <c r="Q356" i="2"/>
  <c r="T356" i="2"/>
  <c r="Q357" i="2"/>
  <c r="T357" i="2"/>
  <c r="Q358" i="2"/>
  <c r="T358" i="2"/>
  <c r="Q359" i="2"/>
  <c r="T359" i="2"/>
  <c r="Q360" i="2"/>
  <c r="T360" i="2"/>
  <c r="Q361" i="2"/>
  <c r="T361" i="2"/>
  <c r="Q362" i="2"/>
  <c r="T362" i="2"/>
  <c r="Q363" i="2"/>
  <c r="T363" i="2"/>
  <c r="Q364" i="2"/>
  <c r="T364" i="2"/>
  <c r="Q365" i="2"/>
  <c r="T365" i="2"/>
  <c r="Q366" i="2"/>
  <c r="T366" i="2"/>
  <c r="Q367" i="2"/>
  <c r="T367" i="2"/>
  <c r="Q368" i="2"/>
  <c r="T368" i="2"/>
  <c r="Q369" i="2"/>
  <c r="T369" i="2"/>
  <c r="Q370" i="2"/>
  <c r="T370" i="2"/>
  <c r="Q371" i="2"/>
  <c r="T371" i="2"/>
  <c r="Q372" i="2"/>
  <c r="T372" i="2"/>
  <c r="Q373" i="2"/>
  <c r="T373" i="2"/>
  <c r="Q374" i="2"/>
  <c r="T374" i="2"/>
  <c r="Q375" i="2"/>
  <c r="T375" i="2"/>
  <c r="Q376" i="2"/>
  <c r="T376" i="2"/>
  <c r="Q377" i="2"/>
  <c r="T377" i="2"/>
  <c r="Q378" i="2"/>
  <c r="T378" i="2"/>
  <c r="Q379" i="2"/>
  <c r="T379" i="2"/>
  <c r="Q380" i="2"/>
  <c r="T380" i="2"/>
  <c r="Q381" i="2"/>
  <c r="T381" i="2"/>
  <c r="Q382" i="2"/>
  <c r="T382" i="2"/>
  <c r="Q383" i="2"/>
  <c r="T383" i="2"/>
  <c r="Q384" i="2"/>
  <c r="T384" i="2"/>
  <c r="Q385" i="2"/>
  <c r="T385" i="2"/>
  <c r="Q386" i="2"/>
  <c r="T386" i="2"/>
  <c r="Q387" i="2"/>
  <c r="T387" i="2"/>
  <c r="Q388" i="2"/>
  <c r="T388" i="2"/>
  <c r="Q389" i="2"/>
  <c r="T389" i="2"/>
  <c r="Q390" i="2"/>
  <c r="T390" i="2"/>
  <c r="Q391" i="2"/>
  <c r="T391" i="2"/>
  <c r="Q392" i="2"/>
  <c r="T392" i="2"/>
  <c r="Q393" i="2"/>
  <c r="T393" i="2"/>
  <c r="Q394" i="2"/>
  <c r="T394" i="2"/>
  <c r="Q395" i="2"/>
  <c r="T395" i="2"/>
  <c r="Q396" i="2"/>
  <c r="T396" i="2"/>
  <c r="Q397" i="2"/>
  <c r="T397" i="2"/>
  <c r="Q398" i="2"/>
  <c r="T398" i="2"/>
  <c r="Q399" i="2"/>
  <c r="T399" i="2"/>
  <c r="Q400" i="2"/>
  <c r="T400" i="2"/>
  <c r="Q401" i="2"/>
  <c r="T401" i="2"/>
  <c r="Q402" i="2"/>
  <c r="T402" i="2"/>
  <c r="Q403" i="2"/>
  <c r="T403" i="2"/>
  <c r="Q404" i="2"/>
  <c r="T404" i="2"/>
  <c r="Q405" i="2"/>
  <c r="T405" i="2"/>
  <c r="Q406" i="2"/>
  <c r="T406" i="2"/>
  <c r="Q407" i="2"/>
  <c r="T407" i="2"/>
  <c r="Q408" i="2"/>
  <c r="T408" i="2"/>
  <c r="Q409" i="2"/>
  <c r="T409" i="2"/>
  <c r="Q410" i="2"/>
  <c r="T410" i="2"/>
  <c r="Q411" i="2"/>
  <c r="T411" i="2"/>
  <c r="Q412" i="2"/>
  <c r="T412" i="2"/>
  <c r="Q413" i="2"/>
  <c r="T413" i="2"/>
  <c r="Q414" i="2"/>
  <c r="T414" i="2"/>
  <c r="Q415" i="2"/>
  <c r="T415" i="2"/>
  <c r="Q416" i="2"/>
  <c r="T416" i="2"/>
  <c r="Q417" i="2"/>
  <c r="T417" i="2"/>
  <c r="Q418" i="2"/>
  <c r="T418" i="2"/>
  <c r="Q419" i="2"/>
  <c r="T419" i="2"/>
  <c r="Q420" i="2"/>
  <c r="T420" i="2"/>
  <c r="Q421" i="2"/>
  <c r="T421" i="2"/>
  <c r="Q422" i="2"/>
  <c r="T422" i="2"/>
  <c r="Q423" i="2"/>
  <c r="T423" i="2"/>
  <c r="Q424" i="2"/>
  <c r="T424" i="2"/>
  <c r="Q425" i="2"/>
  <c r="T425" i="2"/>
  <c r="Q426" i="2"/>
  <c r="T426" i="2"/>
  <c r="Q427" i="2"/>
  <c r="T427" i="2"/>
  <c r="Q428" i="2"/>
  <c r="T428" i="2"/>
  <c r="Q429" i="2"/>
  <c r="T429" i="2"/>
  <c r="Q430" i="2"/>
  <c r="T430" i="2"/>
  <c r="Q431" i="2"/>
  <c r="T431" i="2"/>
  <c r="Q432" i="2"/>
  <c r="T432" i="2"/>
  <c r="Q433" i="2"/>
  <c r="T433" i="2"/>
  <c r="Q434" i="2"/>
  <c r="T434" i="2"/>
  <c r="Q435" i="2"/>
  <c r="T435" i="2"/>
  <c r="Q436" i="2"/>
  <c r="T436" i="2"/>
  <c r="Q437" i="2"/>
  <c r="T437" i="2"/>
  <c r="Q438" i="2"/>
  <c r="T438" i="2"/>
  <c r="Q439" i="2"/>
  <c r="T439" i="2"/>
  <c r="Q440" i="2"/>
  <c r="T440" i="2"/>
  <c r="Q441" i="2"/>
  <c r="T441" i="2"/>
  <c r="Q442" i="2"/>
  <c r="T442" i="2"/>
  <c r="Q443" i="2"/>
  <c r="T443" i="2"/>
  <c r="Q444" i="2"/>
  <c r="T444" i="2"/>
  <c r="Q445" i="2"/>
  <c r="T445" i="2"/>
  <c r="Q446" i="2"/>
  <c r="T446" i="2"/>
  <c r="Q447" i="2"/>
  <c r="T447" i="2"/>
  <c r="Q448" i="2"/>
  <c r="T448" i="2"/>
  <c r="Q449" i="2"/>
  <c r="T449" i="2"/>
  <c r="Q450" i="2"/>
  <c r="T450" i="2"/>
  <c r="Q451" i="2"/>
  <c r="T451" i="2"/>
  <c r="Q452" i="2"/>
  <c r="T452" i="2"/>
  <c r="Q453" i="2"/>
  <c r="T453" i="2"/>
  <c r="Q454" i="2"/>
  <c r="T454" i="2"/>
  <c r="Q455" i="2"/>
  <c r="T455" i="2"/>
  <c r="Q456" i="2"/>
  <c r="T456" i="2"/>
  <c r="Q457" i="2"/>
  <c r="T457" i="2"/>
  <c r="Q458" i="2"/>
  <c r="T458" i="2"/>
  <c r="Q459" i="2"/>
  <c r="T459" i="2"/>
  <c r="Q460" i="2"/>
  <c r="T460" i="2"/>
  <c r="Q461" i="2"/>
  <c r="T461" i="2"/>
  <c r="Q462" i="2"/>
  <c r="T462" i="2"/>
  <c r="Q463" i="2"/>
  <c r="T463" i="2"/>
  <c r="Q464" i="2"/>
  <c r="T464" i="2"/>
  <c r="Q465" i="2"/>
  <c r="T465" i="2"/>
  <c r="Q466" i="2"/>
  <c r="T466" i="2"/>
  <c r="Q467" i="2"/>
  <c r="T467" i="2"/>
  <c r="Q468" i="2"/>
  <c r="T468" i="2"/>
  <c r="Q469" i="2"/>
  <c r="T469" i="2"/>
  <c r="Q470" i="2"/>
  <c r="T470" i="2"/>
  <c r="Q471" i="2"/>
  <c r="T471" i="2"/>
  <c r="Q472" i="2"/>
  <c r="T472" i="2"/>
  <c r="Q473" i="2"/>
  <c r="T473" i="2"/>
  <c r="Q474" i="2"/>
  <c r="T474" i="2"/>
  <c r="Q475" i="2"/>
  <c r="T475" i="2"/>
  <c r="Q476" i="2"/>
  <c r="T476" i="2"/>
  <c r="Q477" i="2"/>
  <c r="T477" i="2"/>
  <c r="Q478" i="2"/>
  <c r="T478" i="2"/>
  <c r="Q479" i="2"/>
  <c r="T479" i="2"/>
  <c r="Q480" i="2"/>
  <c r="T480" i="2"/>
  <c r="Q481" i="2"/>
  <c r="T481" i="2"/>
  <c r="Q482" i="2"/>
  <c r="T482" i="2"/>
  <c r="Q483" i="2"/>
  <c r="T483" i="2"/>
  <c r="Q484" i="2"/>
  <c r="T484" i="2"/>
  <c r="Q485" i="2"/>
  <c r="T485" i="2"/>
  <c r="Q486" i="2"/>
  <c r="T486" i="2"/>
  <c r="Q487" i="2"/>
  <c r="T487" i="2"/>
  <c r="Q488" i="2"/>
  <c r="T488" i="2"/>
  <c r="Q489" i="2"/>
  <c r="T489" i="2"/>
  <c r="Q490" i="2"/>
  <c r="T490" i="2"/>
  <c r="Q491" i="2"/>
  <c r="T491" i="2"/>
  <c r="Q492" i="2"/>
  <c r="T492" i="2"/>
  <c r="Q493" i="2"/>
  <c r="T493" i="2"/>
  <c r="Q494" i="2"/>
  <c r="T494" i="2"/>
  <c r="Q495" i="2"/>
  <c r="T495" i="2"/>
  <c r="Q496" i="2"/>
  <c r="T496" i="2"/>
  <c r="Q497" i="2"/>
  <c r="T497" i="2"/>
  <c r="Q498" i="2"/>
  <c r="T498" i="2"/>
  <c r="Q499" i="2"/>
  <c r="T499" i="2"/>
  <c r="Q500" i="2"/>
  <c r="T500" i="2"/>
  <c r="Q501" i="2"/>
  <c r="T501" i="2"/>
  <c r="Q502" i="2"/>
  <c r="T502" i="2"/>
  <c r="Q503" i="2"/>
  <c r="T503" i="2"/>
  <c r="Q504" i="2"/>
  <c r="T504" i="2"/>
  <c r="Q505" i="2"/>
  <c r="T505" i="2"/>
  <c r="Q506" i="2"/>
  <c r="T506" i="2"/>
  <c r="Q507" i="2"/>
  <c r="T507" i="2"/>
  <c r="Q508" i="2"/>
  <c r="T508" i="2"/>
  <c r="Q509" i="2"/>
  <c r="T509" i="2"/>
  <c r="Q510" i="2"/>
  <c r="T510" i="2"/>
  <c r="Q511" i="2"/>
  <c r="T511" i="2"/>
  <c r="Q512" i="2"/>
  <c r="T512" i="2"/>
  <c r="Q513" i="2"/>
  <c r="T513" i="2"/>
  <c r="Q514" i="2"/>
  <c r="T514" i="2"/>
  <c r="Q515" i="2"/>
  <c r="T515" i="2"/>
  <c r="Q516" i="2"/>
  <c r="T516" i="2"/>
  <c r="Q517" i="2"/>
  <c r="T517" i="2"/>
  <c r="Q518" i="2"/>
  <c r="T518" i="2"/>
  <c r="Q519" i="2"/>
  <c r="T519" i="2"/>
  <c r="Q520" i="2"/>
  <c r="T520" i="2"/>
  <c r="Q521" i="2"/>
  <c r="T521" i="2"/>
  <c r="Q522" i="2"/>
  <c r="T522" i="2"/>
  <c r="Q523" i="2"/>
  <c r="T523" i="2"/>
  <c r="Q524" i="2"/>
  <c r="T524" i="2"/>
  <c r="Q525" i="2"/>
  <c r="T525" i="2"/>
  <c r="Q526" i="2"/>
  <c r="T526" i="2"/>
  <c r="Q527" i="2"/>
  <c r="T527" i="2"/>
  <c r="Q528" i="2"/>
  <c r="T528" i="2"/>
  <c r="Q529" i="2"/>
  <c r="T529" i="2"/>
  <c r="Q530" i="2"/>
  <c r="T530" i="2"/>
  <c r="Q531" i="2"/>
  <c r="T531" i="2"/>
  <c r="Q532" i="2"/>
  <c r="T532" i="2"/>
  <c r="Q533" i="2"/>
  <c r="T533" i="2"/>
  <c r="Q534" i="2"/>
  <c r="T534" i="2"/>
  <c r="Q535" i="2"/>
  <c r="T535" i="2"/>
  <c r="Q536" i="2"/>
  <c r="T536" i="2"/>
  <c r="Q537" i="2"/>
  <c r="T537" i="2"/>
  <c r="Q538" i="2"/>
  <c r="T538" i="2"/>
  <c r="Q539" i="2"/>
  <c r="T539" i="2"/>
  <c r="Q540" i="2"/>
  <c r="T540" i="2"/>
  <c r="Q541" i="2"/>
  <c r="T541" i="2"/>
  <c r="Q542" i="2"/>
  <c r="T542" i="2"/>
  <c r="Q543" i="2"/>
  <c r="T543" i="2"/>
  <c r="Q544" i="2"/>
  <c r="T544" i="2"/>
  <c r="Q545" i="2"/>
  <c r="T545" i="2"/>
  <c r="Q546" i="2"/>
  <c r="T546" i="2"/>
  <c r="Q547" i="2"/>
  <c r="T547" i="2"/>
  <c r="Q548" i="2"/>
  <c r="T548" i="2"/>
  <c r="Q549" i="2"/>
  <c r="T549" i="2"/>
  <c r="Q550" i="2"/>
  <c r="T550" i="2"/>
  <c r="Q551" i="2"/>
  <c r="T551" i="2"/>
  <c r="Q552" i="2"/>
  <c r="T552" i="2"/>
  <c r="Q553" i="2"/>
  <c r="T553" i="2"/>
  <c r="Q554" i="2"/>
  <c r="T554" i="2"/>
  <c r="Q555" i="2"/>
  <c r="T555" i="2"/>
  <c r="Q556" i="2"/>
  <c r="T556" i="2"/>
  <c r="Q557" i="2"/>
  <c r="T557" i="2"/>
  <c r="Q558" i="2"/>
  <c r="T558" i="2"/>
  <c r="Q559" i="2"/>
  <c r="T559" i="2"/>
  <c r="Q560" i="2"/>
  <c r="T560" i="2"/>
  <c r="Q561" i="2"/>
  <c r="T561" i="2"/>
  <c r="Q562" i="2"/>
  <c r="T562" i="2"/>
  <c r="Q563" i="2"/>
  <c r="T563" i="2"/>
  <c r="Q564" i="2"/>
  <c r="T564" i="2"/>
  <c r="Q565" i="2"/>
  <c r="T565" i="2"/>
  <c r="Q566" i="2"/>
  <c r="T566" i="2"/>
  <c r="Q567" i="2"/>
  <c r="T567" i="2"/>
  <c r="Q568" i="2"/>
  <c r="T568" i="2"/>
  <c r="Q569" i="2"/>
  <c r="T569" i="2"/>
  <c r="Q570" i="2"/>
  <c r="T570" i="2"/>
  <c r="Q571" i="2"/>
  <c r="T571" i="2"/>
  <c r="Q572" i="2"/>
  <c r="T572" i="2"/>
  <c r="Q573" i="2"/>
  <c r="T573" i="2"/>
  <c r="Q574" i="2"/>
  <c r="T574" i="2"/>
  <c r="Q575" i="2"/>
  <c r="T575" i="2"/>
  <c r="Q576" i="2"/>
  <c r="T576" i="2"/>
  <c r="Q577" i="2"/>
  <c r="T577" i="2"/>
  <c r="Q578" i="2"/>
  <c r="T578" i="2"/>
  <c r="Q579" i="2"/>
  <c r="T579" i="2"/>
  <c r="Q580" i="2"/>
  <c r="T580" i="2"/>
  <c r="Q581" i="2"/>
  <c r="T581" i="2"/>
  <c r="Q582" i="2"/>
  <c r="T582" i="2"/>
  <c r="Q583" i="2"/>
  <c r="T583" i="2"/>
  <c r="Q584" i="2"/>
  <c r="T584" i="2"/>
  <c r="Q585" i="2"/>
  <c r="T585" i="2"/>
  <c r="Q586" i="2"/>
  <c r="T586" i="2"/>
  <c r="Q587" i="2"/>
  <c r="T587" i="2"/>
  <c r="Q588" i="2"/>
  <c r="T588" i="2"/>
  <c r="Q589" i="2"/>
  <c r="T589" i="2"/>
  <c r="Q590" i="2"/>
  <c r="T590" i="2"/>
  <c r="Q591" i="2"/>
  <c r="T591" i="2"/>
  <c r="Q592" i="2"/>
  <c r="T592" i="2"/>
  <c r="Q593" i="2"/>
  <c r="T593" i="2"/>
  <c r="Q594" i="2"/>
  <c r="T594" i="2"/>
  <c r="Q595" i="2"/>
  <c r="T595" i="2"/>
  <c r="Q596" i="2"/>
  <c r="T596" i="2"/>
  <c r="Q597" i="2"/>
  <c r="T597" i="2"/>
  <c r="Q598" i="2"/>
  <c r="T598" i="2"/>
  <c r="Q599" i="2"/>
  <c r="T599" i="2"/>
</calcChain>
</file>

<file path=xl/sharedStrings.xml><?xml version="1.0" encoding="utf-8"?>
<sst xmlns="http://schemas.openxmlformats.org/spreadsheetml/2006/main" count="487" uniqueCount="50">
  <si>
    <t>NA</t>
  </si>
  <si>
    <t>Dec</t>
  </si>
  <si>
    <t>Nov</t>
  </si>
  <si>
    <t>Oct</t>
  </si>
  <si>
    <t>Sep</t>
  </si>
  <si>
    <t>Aug</t>
  </si>
  <si>
    <t>July</t>
  </si>
  <si>
    <t>June</t>
  </si>
  <si>
    <t>May</t>
  </si>
  <si>
    <t>Apr</t>
  </si>
  <si>
    <t>Mar</t>
  </si>
  <si>
    <t>Feb</t>
  </si>
  <si>
    <t>Jan</t>
  </si>
  <si>
    <t>September</t>
  </si>
  <si>
    <t>August</t>
  </si>
  <si>
    <t xml:space="preserve">July </t>
  </si>
  <si>
    <t>Peak</t>
  </si>
  <si>
    <t>daypattern</t>
  </si>
  <si>
    <t>growth rate</t>
  </si>
  <si>
    <t>whale_presence</t>
  </si>
  <si>
    <t>WP-  non peak</t>
  </si>
  <si>
    <t>WP- peak</t>
  </si>
  <si>
    <t>year</t>
  </si>
  <si>
    <t>month</t>
  </si>
  <si>
    <t>presence_lead</t>
  </si>
  <si>
    <t>mean_sst</t>
  </si>
  <si>
    <t>presence_total_hrs</t>
  </si>
  <si>
    <t>record_total_hrs</t>
  </si>
  <si>
    <t>chl_small</t>
  </si>
  <si>
    <t>chl_large</t>
  </si>
  <si>
    <t>date</t>
  </si>
  <si>
    <t>Peak finish time</t>
  </si>
  <si>
    <t>Peak starting time</t>
  </si>
  <si>
    <t>?</t>
  </si>
  <si>
    <t>Feb 10 --?</t>
  </si>
  <si>
    <t>May-17 -- July 4</t>
  </si>
  <si>
    <t>Oct-24-  Dec 3</t>
  </si>
  <si>
    <t>Feb-18 -- Mar 6</t>
  </si>
  <si>
    <t>Oct 24 -- Nov 11</t>
  </si>
  <si>
    <t>Aug-5-- Sep-22</t>
  </si>
  <si>
    <t>1?</t>
  </si>
  <si>
    <t>Sep-6 -- Nov-9</t>
  </si>
  <si>
    <t>FEB-18 -- Apr-15</t>
  </si>
  <si>
    <t>-</t>
  </si>
  <si>
    <t>period</t>
  </si>
  <si>
    <t>Peak End</t>
  </si>
  <si>
    <t>Peak- start</t>
  </si>
  <si>
    <t>extra peak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</si>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</sst>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Calibri"/>
      <family val="2"/>
      <scheme val="minor"/>
    </font>
    <font>
      <sz val="10"/>
      <name val="Helvetica Neue"/>
      <family val="2"/>
    </font>
    <font>
      <sz val="12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14" fontId="1" fillId="0" borderId="0" xfId="0" applyNumberFormat="1" applyFont="1"/>
    <xf numFmtId="0" fontId="1" fillId="0" borderId="0" xfId="0" applyFont="1"/>
    <xf numFmtId="14" fontId="0" fillId="0" borderId="0" xfId="0" applyNumberFormat="1"/>
    <xf numFmtId="0" fontId="2" fillId="0" borderId="0" xfId="0" applyFont="1"/>
    <xf numFmtId="14" fontId="1" fillId="2" borderId="0" xfId="0" applyNumberFormat="1" applyFont="1" applyFill="1"/>
    <xf numFmtId="0" fontId="1" fillId="2" borderId="0" xfId="0" applyFont="1" applyFill="1"/>
    <xf numFmtId="0" fontId="1" fillId="3" borderId="0" xfId="0" applyFont="1" applyFill="1"/>
    <xf numFmtId="14" fontId="1" fillId="3" borderId="0" xfId="0" applyNumberFormat="1" applyFont="1" applyFill="1"/>
    <xf numFmtId="14" fontId="3" fillId="0" borderId="0" xfId="0" applyNumberFormat="1" applyFont="1"/>
    <xf numFmtId="14" fontId="1" fillId="4" borderId="0" xfId="0" applyNumberFormat="1" applyFont="1" applyFill="1"/>
    <xf numFmtId="0" fontId="1" fillId="4" borderId="0" xfId="0" applyFont="1" applyFill="1"/>
    <xf numFmtId="0" fontId="1" fillId="5" borderId="0" xfId="0" applyFont="1" applyFill="1"/>
    <xf numFmtId="0" fontId="4" fillId="5" borderId="0" xfId="0" applyFont="1" applyFill="1"/>
    <xf numFmtId="14" fontId="1" fillId="6" borderId="0" xfId="0" applyNumberFormat="1" applyFont="1" applyFill="1"/>
    <xf numFmtId="0" fontId="1" fillId="6" borderId="0" xfId="0" applyFont="1" applyFill="1"/>
    <xf numFmtId="0" fontId="2" fillId="4" borderId="0" xfId="0" applyFont="1" applyFill="1"/>
    <xf numFmtId="0" fontId="5" fillId="0" borderId="0" xfId="0" applyFont="1"/>
    <xf numFmtId="14" fontId="0" fillId="5" borderId="0" xfId="0" applyNumberFormat="1" applyFill="1"/>
    <xf numFmtId="17" fontId="0" fillId="0" borderId="0" xfId="0" applyNumberFormat="1"/>
    <xf numFmtId="0" fontId="0" fillId="7" borderId="0" xfId="0" applyFill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val>
            <c:numRef>
              <c:f>'nw data'!$N$2:$N$47</c:f>
              <c:numCache>
                <c:formatCode>General</c:formatCode>
                <c:ptCount val="46"/>
                <c:pt idx="0">
                  <c:v>1</c:v>
                </c:pt>
                <c:pt idx="1">
                  <c:v>0.32601536772777201</c:v>
                </c:pt>
                <c:pt idx="2">
                  <c:v>0.31770833333333298</c:v>
                </c:pt>
                <c:pt idx="3">
                  <c:v>0.109375</c:v>
                </c:pt>
                <c:pt idx="43">
                  <c:v>0.50520833333333304</c:v>
                </c:pt>
                <c:pt idx="44">
                  <c:v>1</c:v>
                </c:pt>
                <c:pt idx="45">
                  <c:v>0.96666666666666701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1-2640-9785-092330E0C953}"/>
            </c:ext>
          </c:extLst>
        </c:ser>
        <c:ser>
          <c:idx val="1"/>
          <c:order val="1"/>
          <c:spPr>
            <a:solidFill>
              <a:srgbClr val="941100">
                <a:alpha val="45921"/>
              </a:srgbClr>
            </a:solidFill>
            <a:ln>
              <a:noFill/>
            </a:ln>
            <a:effectLst/>
          </c:spPr>
          <c:invertIfNegative val="0"/>
          <c:val>
            <c:numRef>
              <c:f>'nw data'!$O$2:$O$47</c:f>
              <c:numCache>
                <c:formatCode>General</c:formatCode>
                <c:ptCount val="46"/>
                <c:pt idx="4">
                  <c:v>5.2083333333333296E-3</c:v>
                </c:pt>
                <c:pt idx="5">
                  <c:v>5.7291666666666699E-2</c:v>
                </c:pt>
                <c:pt idx="6">
                  <c:v>6.7708333333333301E-2</c:v>
                </c:pt>
                <c:pt idx="7">
                  <c:v>0.13541666666666699</c:v>
                </c:pt>
                <c:pt idx="8">
                  <c:v>0.01</c:v>
                </c:pt>
                <c:pt idx="9">
                  <c:v>3.1282586027111599E-2</c:v>
                </c:pt>
                <c:pt idx="10">
                  <c:v>3.6458333333333301E-2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2.6041666666666699E-2</c:v>
                </c:pt>
                <c:pt idx="16">
                  <c:v>3.125E-2</c:v>
                </c:pt>
                <c:pt idx="17">
                  <c:v>2.6041666666666699E-2</c:v>
                </c:pt>
                <c:pt idx="18">
                  <c:v>5.2083333333333296E-3</c:v>
                </c:pt>
                <c:pt idx="19">
                  <c:v>0.01</c:v>
                </c:pt>
                <c:pt idx="20">
                  <c:v>0.01</c:v>
                </c:pt>
                <c:pt idx="21">
                  <c:v>4.1666666666666699E-2</c:v>
                </c:pt>
                <c:pt idx="22">
                  <c:v>0.26109660574412502</c:v>
                </c:pt>
                <c:pt idx="23">
                  <c:v>1.6251354279523299E-2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0.125</c:v>
                </c:pt>
                <c:pt idx="31">
                  <c:v>0.49479166666666702</c:v>
                </c:pt>
                <c:pt idx="32">
                  <c:v>0.24479166666666699</c:v>
                </c:pt>
                <c:pt idx="33">
                  <c:v>9.9367660343270103E-2</c:v>
                </c:pt>
                <c:pt idx="34">
                  <c:v>0.44270833333333298</c:v>
                </c:pt>
                <c:pt idx="35">
                  <c:v>3.6458333333333301E-2</c:v>
                </c:pt>
                <c:pt idx="36">
                  <c:v>0.30729166666666702</c:v>
                </c:pt>
                <c:pt idx="37">
                  <c:v>0.14583333333333301</c:v>
                </c:pt>
                <c:pt idx="38">
                  <c:v>0.215223097112861</c:v>
                </c:pt>
                <c:pt idx="39">
                  <c:v>5.7411273486430103E-2</c:v>
                </c:pt>
                <c:pt idx="40">
                  <c:v>0.640625</c:v>
                </c:pt>
                <c:pt idx="41">
                  <c:v>0.234791889007471</c:v>
                </c:pt>
                <c:pt idx="42">
                  <c:v>0.29718456725755998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1-2640-9785-092330E0C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val>
            <c:numRef>
              <c:f>'nw data'!$N$48:$N$93</c:f>
              <c:numCache>
                <c:formatCode>General</c:formatCode>
                <c:ptCount val="46"/>
                <c:pt idx="0">
                  <c:v>0.69474248927038595</c:v>
                </c:pt>
                <c:pt idx="1">
                  <c:v>0.80611169652265502</c:v>
                </c:pt>
                <c:pt idx="2">
                  <c:v>0.90814196242171197</c:v>
                </c:pt>
                <c:pt idx="3">
                  <c:v>0.53645833333333304</c:v>
                </c:pt>
                <c:pt idx="42">
                  <c:v>0.53235908141962396</c:v>
                </c:pt>
                <c:pt idx="43">
                  <c:v>0.93229166666666696</c:v>
                </c:pt>
                <c:pt idx="44">
                  <c:v>0.77604166666666696</c:v>
                </c:pt>
                <c:pt idx="45">
                  <c:v>0.651629072681704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E-E54B-B6AE-B6FBF3FF4723}"/>
            </c:ext>
          </c:extLst>
        </c:ser>
        <c:ser>
          <c:idx val="1"/>
          <c:order val="1"/>
          <c:spPr>
            <a:pattFill prst="pct70">
              <a:fgClr>
                <a:srgbClr val="9411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'nw data'!$O$48:$O$93</c:f>
              <c:numCache>
                <c:formatCode>General</c:formatCode>
                <c:ptCount val="46"/>
                <c:pt idx="4">
                  <c:v>6.6261733848702403E-2</c:v>
                </c:pt>
                <c:pt idx="5">
                  <c:v>6.25E-2</c:v>
                </c:pt>
                <c:pt idx="6">
                  <c:v>0.01</c:v>
                </c:pt>
                <c:pt idx="7">
                  <c:v>4.1666666666666699E-2</c:v>
                </c:pt>
                <c:pt idx="8">
                  <c:v>3.125E-2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1.0482180293501E-2</c:v>
                </c:pt>
                <c:pt idx="14">
                  <c:v>1.0416666666666701E-2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0.405555555555556</c:v>
                </c:pt>
                <c:pt idx="22">
                  <c:v>0.184307530279094</c:v>
                </c:pt>
                <c:pt idx="23">
                  <c:v>0.01</c:v>
                </c:pt>
                <c:pt idx="24">
                  <c:v>0.01</c:v>
                </c:pt>
                <c:pt idx="25">
                  <c:v>1.0416666666666701E-2</c:v>
                </c:pt>
                <c:pt idx="26">
                  <c:v>0.01</c:v>
                </c:pt>
                <c:pt idx="27">
                  <c:v>4.1666666666666699E-2</c:v>
                </c:pt>
                <c:pt idx="28">
                  <c:v>1.0416666666666701E-2</c:v>
                </c:pt>
                <c:pt idx="29">
                  <c:v>0.01</c:v>
                </c:pt>
                <c:pt idx="30">
                  <c:v>5.2083333333333296E-3</c:v>
                </c:pt>
                <c:pt idx="31">
                  <c:v>1.5940488841657802E-2</c:v>
                </c:pt>
                <c:pt idx="32">
                  <c:v>6.4935064935064901E-2</c:v>
                </c:pt>
                <c:pt idx="33">
                  <c:v>0.01</c:v>
                </c:pt>
                <c:pt idx="34">
                  <c:v>0.01</c:v>
                </c:pt>
                <c:pt idx="35">
                  <c:v>5.2083333333333301E-2</c:v>
                </c:pt>
                <c:pt idx="36">
                  <c:v>5.2083333333333296E-3</c:v>
                </c:pt>
                <c:pt idx="37">
                  <c:v>5.2083333333333301E-2</c:v>
                </c:pt>
                <c:pt idx="38">
                  <c:v>0.13561320754716999</c:v>
                </c:pt>
                <c:pt idx="39">
                  <c:v>0.34895833333333298</c:v>
                </c:pt>
                <c:pt idx="40">
                  <c:v>0.35509138381201</c:v>
                </c:pt>
                <c:pt idx="41">
                  <c:v>0.35412262156448199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0E-E54B-B6AE-B6FBF3FF4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val>
            <c:numRef>
              <c:f>'nw data'!$N$94:$N$139</c:f>
              <c:numCache>
                <c:formatCode>General</c:formatCode>
                <c:ptCount val="46"/>
                <c:pt idx="0">
                  <c:v>1</c:v>
                </c:pt>
                <c:pt idx="1">
                  <c:v>0.99009900990098998</c:v>
                </c:pt>
                <c:pt idx="2">
                  <c:v>0.95971563981042696</c:v>
                </c:pt>
                <c:pt idx="3">
                  <c:v>0.63541666666666696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8-8247-80E9-84647161873C}"/>
            </c:ext>
          </c:extLst>
        </c:ser>
        <c:ser>
          <c:idx val="1"/>
          <c:order val="1"/>
          <c:spPr>
            <a:pattFill prst="pct70">
              <a:fgClr>
                <a:srgbClr val="9411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'nw data'!$O$94:$O$139</c:f>
              <c:numCache>
                <c:formatCode>General</c:formatCode>
                <c:ptCount val="46"/>
                <c:pt idx="4">
                  <c:v>0.01</c:v>
                </c:pt>
                <c:pt idx="5">
                  <c:v>3.6458333333333301E-2</c:v>
                </c:pt>
                <c:pt idx="6">
                  <c:v>3.64741641337386E-2</c:v>
                </c:pt>
                <c:pt idx="7">
                  <c:v>2.0833333333333301E-2</c:v>
                </c:pt>
                <c:pt idx="8">
                  <c:v>1.8951358180669599E-2</c:v>
                </c:pt>
                <c:pt idx="9">
                  <c:v>2.6041666666666699E-2</c:v>
                </c:pt>
                <c:pt idx="10">
                  <c:v>0.01</c:v>
                </c:pt>
                <c:pt idx="11">
                  <c:v>2.6041666666666699E-2</c:v>
                </c:pt>
                <c:pt idx="12">
                  <c:v>5.2083333333333296E-3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5.2083333333333296E-3</c:v>
                </c:pt>
                <c:pt idx="18">
                  <c:v>5.2083333333333296E-3</c:v>
                </c:pt>
                <c:pt idx="19">
                  <c:v>0.01</c:v>
                </c:pt>
                <c:pt idx="20">
                  <c:v>1.0416666666666701E-2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0.22916666666666699</c:v>
                </c:pt>
                <c:pt idx="34">
                  <c:v>0.01</c:v>
                </c:pt>
                <c:pt idx="35">
                  <c:v>1.04931794333683E-2</c:v>
                </c:pt>
                <c:pt idx="36">
                  <c:v>0.29166666666666702</c:v>
                </c:pt>
                <c:pt idx="37">
                  <c:v>5.2083333333333301E-2</c:v>
                </c:pt>
                <c:pt idx="38">
                  <c:v>6.2860136196961805E-2</c:v>
                </c:pt>
                <c:pt idx="39">
                  <c:v>5.2083333333333296E-3</c:v>
                </c:pt>
                <c:pt idx="40">
                  <c:v>5.7621791513881603E-2</c:v>
                </c:pt>
                <c:pt idx="41">
                  <c:v>0.01</c:v>
                </c:pt>
                <c:pt idx="42">
                  <c:v>0.01</c:v>
                </c:pt>
                <c:pt idx="43">
                  <c:v>5.2083333333333301E-2</c:v>
                </c:pt>
                <c:pt idx="44">
                  <c:v>0.27604166666666702</c:v>
                </c:pt>
                <c:pt idx="45">
                  <c:v>0.20138888888888901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8-8247-80E9-846471618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1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val>
            <c:numRef>
              <c:f>'nw data'!$N$140:$N$185</c:f>
              <c:numCache>
                <c:formatCode>General</c:formatCode>
                <c:ptCount val="46"/>
                <c:pt idx="6">
                  <c:v>0.828125</c:v>
                </c:pt>
                <c:pt idx="7">
                  <c:v>0.91145833333333304</c:v>
                </c:pt>
                <c:pt idx="8">
                  <c:v>0.94791666666666696</c:v>
                </c:pt>
                <c:pt idx="9">
                  <c:v>0.99738903394255896</c:v>
                </c:pt>
                <c:pt idx="10">
                  <c:v>0.93617021276595702</c:v>
                </c:pt>
                <c:pt idx="11">
                  <c:v>0.86702127659574502</c:v>
                </c:pt>
                <c:pt idx="12">
                  <c:v>0.47872340425531901</c:v>
                </c:pt>
                <c:pt idx="13">
                  <c:v>0.21276595744680901</c:v>
                </c:pt>
                <c:pt idx="31">
                  <c:v>0.97340425531914898</c:v>
                </c:pt>
                <c:pt idx="32">
                  <c:v>0.97395833333333304</c:v>
                </c:pt>
                <c:pt idx="33">
                  <c:v>1</c:v>
                </c:pt>
                <c:pt idx="34">
                  <c:v>0.9375</c:v>
                </c:pt>
                <c:pt idx="35">
                  <c:v>0.984375</c:v>
                </c:pt>
                <c:pt idx="36">
                  <c:v>0.99479166666666696</c:v>
                </c:pt>
                <c:pt idx="37">
                  <c:v>0.99478895257946798</c:v>
                </c:pt>
                <c:pt idx="38">
                  <c:v>0.86979166666666696</c:v>
                </c:pt>
                <c:pt idx="39">
                  <c:v>0.36979166666666702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D-8641-8DC2-1529F3D06111}"/>
            </c:ext>
          </c:extLst>
        </c:ser>
        <c:ser>
          <c:idx val="2"/>
          <c:order val="1"/>
          <c:spPr>
            <a:pattFill prst="pct70">
              <a:fgClr>
                <a:srgbClr val="941100"/>
              </a:fgClr>
              <a:bgClr>
                <a:schemeClr val="bg1"/>
              </a:bgClr>
            </a:pattFill>
            <a:ln>
              <a:solidFill>
                <a:srgbClr val="FFFFFF"/>
              </a:solidFill>
            </a:ln>
            <a:effectLst/>
          </c:spPr>
          <c:invertIfNegative val="0"/>
          <c:val>
            <c:numRef>
              <c:f>'nw data'!$O$140:$O$185</c:f>
              <c:numCache>
                <c:formatCode>General</c:formatCode>
                <c:ptCount val="46"/>
                <c:pt idx="0">
                  <c:v>0.125</c:v>
                </c:pt>
                <c:pt idx="1">
                  <c:v>1.5625E-2</c:v>
                </c:pt>
                <c:pt idx="2">
                  <c:v>0.27083333333333298</c:v>
                </c:pt>
                <c:pt idx="3">
                  <c:v>0.625</c:v>
                </c:pt>
                <c:pt idx="4">
                  <c:v>0.375</c:v>
                </c:pt>
                <c:pt idx="5">
                  <c:v>0.17708333333333301</c:v>
                </c:pt>
                <c:pt idx="14">
                  <c:v>5.31914893617021E-3</c:v>
                </c:pt>
                <c:pt idx="15">
                  <c:v>5.31914893617021E-3</c:v>
                </c:pt>
                <c:pt idx="16">
                  <c:v>5.4347826086956503E-3</c:v>
                </c:pt>
                <c:pt idx="17">
                  <c:v>0.01</c:v>
                </c:pt>
                <c:pt idx="18">
                  <c:v>7.8125E-2</c:v>
                </c:pt>
                <c:pt idx="19">
                  <c:v>0.10638297872340401</c:v>
                </c:pt>
                <c:pt idx="20">
                  <c:v>0.11111111111111099</c:v>
                </c:pt>
                <c:pt idx="21">
                  <c:v>0.66847826086956497</c:v>
                </c:pt>
                <c:pt idx="22">
                  <c:v>0.173913043478261</c:v>
                </c:pt>
                <c:pt idx="23">
                  <c:v>0.104166666666667</c:v>
                </c:pt>
                <c:pt idx="24">
                  <c:v>3.7234042553191501E-2</c:v>
                </c:pt>
                <c:pt idx="25">
                  <c:v>2.0833333333333301E-2</c:v>
                </c:pt>
                <c:pt idx="26">
                  <c:v>3.8043478260869602E-2</c:v>
                </c:pt>
                <c:pt idx="27">
                  <c:v>0.01</c:v>
                </c:pt>
                <c:pt idx="28">
                  <c:v>1.6313213703099499E-2</c:v>
                </c:pt>
                <c:pt idx="29">
                  <c:v>0.01</c:v>
                </c:pt>
                <c:pt idx="30">
                  <c:v>7.2916666666666699E-2</c:v>
                </c:pt>
                <c:pt idx="40">
                  <c:v>6.25E-2</c:v>
                </c:pt>
                <c:pt idx="41">
                  <c:v>5.7291666666666699E-2</c:v>
                </c:pt>
                <c:pt idx="42">
                  <c:v>2.0833333333333301E-2</c:v>
                </c:pt>
                <c:pt idx="43">
                  <c:v>2.6041666666666699E-2</c:v>
                </c:pt>
                <c:pt idx="44">
                  <c:v>4.6972860125261001E-2</c:v>
                </c:pt>
                <c:pt idx="45">
                  <c:v>1.6666666666666701E-2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CD-8641-8DC2-1529F3D06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val>
            <c:numRef>
              <c:f>'nw data'!$N$186:$N$231</c:f>
              <c:numCache>
                <c:formatCode>General</c:formatCode>
                <c:ptCount val="46"/>
                <c:pt idx="27">
                  <c:v>0.15625</c:v>
                </c:pt>
                <c:pt idx="28">
                  <c:v>0.19791666666666699</c:v>
                </c:pt>
                <c:pt idx="29">
                  <c:v>0.46629213483146098</c:v>
                </c:pt>
                <c:pt idx="30">
                  <c:v>0.63541666666666696</c:v>
                </c:pt>
                <c:pt idx="31">
                  <c:v>0.41111111111111098</c:v>
                </c:pt>
                <c:pt idx="32">
                  <c:v>0.99457111834961998</c:v>
                </c:pt>
                <c:pt idx="33">
                  <c:v>0.43770672546857797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2-954D-BF22-223D85352927}"/>
            </c:ext>
          </c:extLst>
        </c:ser>
        <c:ser>
          <c:idx val="1"/>
          <c:order val="1"/>
          <c:spPr>
            <a:pattFill prst="pct70">
              <a:fgClr>
                <a:srgbClr val="9411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'nw data'!$O$186:$O$231</c:f>
              <c:numCache>
                <c:formatCode>General</c:formatCode>
                <c:ptCount val="46"/>
                <c:pt idx="0">
                  <c:v>6.3424947145877403E-2</c:v>
                </c:pt>
                <c:pt idx="1">
                  <c:v>0.13541666666666699</c:v>
                </c:pt>
                <c:pt idx="2">
                  <c:v>2.6041666666666699E-2</c:v>
                </c:pt>
                <c:pt idx="3">
                  <c:v>3.6458333333333301E-2</c:v>
                </c:pt>
                <c:pt idx="4">
                  <c:v>8.0472103004291806E-2</c:v>
                </c:pt>
                <c:pt idx="5">
                  <c:v>0.41275167785234901</c:v>
                </c:pt>
                <c:pt idx="6">
                  <c:v>2.0833333333333301E-2</c:v>
                </c:pt>
                <c:pt idx="7">
                  <c:v>2.0833333333333301E-2</c:v>
                </c:pt>
                <c:pt idx="8">
                  <c:v>0.01</c:v>
                </c:pt>
                <c:pt idx="9">
                  <c:v>1.0416666666666701E-2</c:v>
                </c:pt>
                <c:pt idx="10">
                  <c:v>0.01</c:v>
                </c:pt>
                <c:pt idx="11">
                  <c:v>5.2083333333333296E-3</c:v>
                </c:pt>
                <c:pt idx="12">
                  <c:v>0.01</c:v>
                </c:pt>
                <c:pt idx="13">
                  <c:v>0.01</c:v>
                </c:pt>
                <c:pt idx="14">
                  <c:v>5.2083333333333296E-3</c:v>
                </c:pt>
                <c:pt idx="15">
                  <c:v>0.01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2.1276595744680899E-2</c:v>
                </c:pt>
                <c:pt idx="34">
                  <c:v>9.6826250672404496E-2</c:v>
                </c:pt>
                <c:pt idx="35">
                  <c:v>3.9817974971558603E-2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A2-954D-BF22-223D85352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1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val>
            <c:numRef>
              <c:f>'nw data'!$N$232:$N$277</c:f>
              <c:numCache>
                <c:formatCode>General</c:formatCode>
                <c:ptCount val="46"/>
                <c:pt idx="41">
                  <c:v>0.61956521739130399</c:v>
                </c:pt>
                <c:pt idx="42">
                  <c:v>0.82814238042269195</c:v>
                </c:pt>
                <c:pt idx="43">
                  <c:v>0.97395833333333304</c:v>
                </c:pt>
                <c:pt idx="44">
                  <c:v>0.99468085106382997</c:v>
                </c:pt>
                <c:pt idx="45">
                  <c:v>0.681034482758621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1-1849-BC29-AAC88F9A2891}"/>
            </c:ext>
          </c:extLst>
        </c:ser>
        <c:ser>
          <c:idx val="2"/>
          <c:order val="1"/>
          <c:spPr>
            <a:pattFill prst="pct70">
              <a:fgClr>
                <a:srgbClr val="9411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'nw data'!$O$232:$O$277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7.14285714285714E-3</c:v>
                </c:pt>
                <c:pt idx="37">
                  <c:v>4.8840048840048798E-2</c:v>
                </c:pt>
                <c:pt idx="38">
                  <c:v>0.171875</c:v>
                </c:pt>
                <c:pt idx="39">
                  <c:v>0.3125</c:v>
                </c:pt>
                <c:pt idx="40">
                  <c:v>0.175531914893617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1-1849-BC29-AAC88F9A2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1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val>
            <c:numRef>
              <c:f>'nw data'!$N$278:$N$323</c:f>
              <c:numCache>
                <c:formatCode>General</c:formatCode>
                <c:ptCount val="46"/>
                <c:pt idx="0">
                  <c:v>0.48958333333333298</c:v>
                </c:pt>
                <c:pt idx="1">
                  <c:v>0.22916666666666699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4-B14B-9ED4-2362FA69B6B3}"/>
            </c:ext>
          </c:extLst>
        </c:ser>
        <c:ser>
          <c:idx val="2"/>
          <c:order val="1"/>
          <c:spPr>
            <a:pattFill prst="pct70">
              <a:fgClr>
                <a:srgbClr val="9411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'nw data'!$O$278:$O$323</c:f>
              <c:numCache>
                <c:formatCode>General</c:formatCode>
                <c:ptCount val="46"/>
                <c:pt idx="2">
                  <c:v>4.1666666666666699E-2</c:v>
                </c:pt>
                <c:pt idx="3">
                  <c:v>0.41847826086956502</c:v>
                </c:pt>
                <c:pt idx="4">
                  <c:v>0.211935303959844</c:v>
                </c:pt>
                <c:pt idx="5">
                  <c:v>1.0869565217391301E-2</c:v>
                </c:pt>
                <c:pt idx="6">
                  <c:v>0.13888888888888901</c:v>
                </c:pt>
                <c:pt idx="7">
                  <c:v>0.1</c:v>
                </c:pt>
                <c:pt idx="8">
                  <c:v>1.6666666666666701E-2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</c:v>
                </c:pt>
                <c:pt idx="14">
                  <c:v>0.01</c:v>
                </c:pt>
                <c:pt idx="15">
                  <c:v>7.0652173913043501E-2</c:v>
                </c:pt>
                <c:pt idx="16">
                  <c:v>0.01</c:v>
                </c:pt>
                <c:pt idx="17">
                  <c:v>0.01</c:v>
                </c:pt>
                <c:pt idx="18">
                  <c:v>5.4347826086956503E-3</c:v>
                </c:pt>
                <c:pt idx="19">
                  <c:v>0.17934782608695701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0.30555555555555602</c:v>
                </c:pt>
                <c:pt idx="24">
                  <c:v>0.28333333333333299</c:v>
                </c:pt>
                <c:pt idx="25">
                  <c:v>0.01</c:v>
                </c:pt>
                <c:pt idx="26">
                  <c:v>0.57978723404255295</c:v>
                </c:pt>
                <c:pt idx="27">
                  <c:v>0.56111111111111101</c:v>
                </c:pt>
                <c:pt idx="28">
                  <c:v>0.116666666666667</c:v>
                </c:pt>
                <c:pt idx="29">
                  <c:v>0.57222222222222197</c:v>
                </c:pt>
                <c:pt idx="30">
                  <c:v>0.17025440313111501</c:v>
                </c:pt>
                <c:pt idx="31">
                  <c:v>5.9782608695652197E-2</c:v>
                </c:pt>
                <c:pt idx="32">
                  <c:v>0.01</c:v>
                </c:pt>
                <c:pt idx="33">
                  <c:v>0.01</c:v>
                </c:pt>
                <c:pt idx="34">
                  <c:v>0.14673913043478301</c:v>
                </c:pt>
                <c:pt idx="35">
                  <c:v>0.23888888888888901</c:v>
                </c:pt>
                <c:pt idx="36">
                  <c:v>1.5957446808510599E-2</c:v>
                </c:pt>
                <c:pt idx="37">
                  <c:v>0.01</c:v>
                </c:pt>
                <c:pt idx="38">
                  <c:v>2.1739130434782601E-2</c:v>
                </c:pt>
                <c:pt idx="39">
                  <c:v>0.204545454545455</c:v>
                </c:pt>
                <c:pt idx="40">
                  <c:v>0.05</c:v>
                </c:pt>
                <c:pt idx="41">
                  <c:v>2.2222222222222199E-2</c:v>
                </c:pt>
                <c:pt idx="42">
                  <c:v>2.1739130434782601E-2</c:v>
                </c:pt>
                <c:pt idx="43">
                  <c:v>0.25</c:v>
                </c:pt>
                <c:pt idx="44">
                  <c:v>0.01</c:v>
                </c:pt>
                <c:pt idx="45">
                  <c:v>6.9444444444444397E-3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44-B14B-9ED4-2362FA69B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1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cat>
            <c:numRef>
              <c:f>'nw data'!$N$361:$N$369</c:f>
              <c:numCache>
                <c:formatCode>General</c:formatCode>
                <c:ptCount val="9"/>
                <c:pt idx="0">
                  <c:v>0.28846153846153799</c:v>
                </c:pt>
                <c:pt idx="1">
                  <c:v>0.30240549828178698</c:v>
                </c:pt>
                <c:pt idx="2">
                  <c:v>0.96117122851686798</c:v>
                </c:pt>
                <c:pt idx="5">
                  <c:v>0.84574468085106402</c:v>
                </c:pt>
                <c:pt idx="6">
                  <c:v>1</c:v>
                </c:pt>
                <c:pt idx="7">
                  <c:v>1</c:v>
                </c:pt>
                <c:pt idx="8">
                  <c:v>0.97413793103448298</c:v>
                </c:pt>
              </c:numCache>
            </c:numRef>
          </c:cat>
          <c:val>
            <c:numRef>
              <c:f>'nw data'!$N$324:$N$369</c:f>
              <c:numCache>
                <c:formatCode>General</c:formatCode>
                <c:ptCount val="46"/>
                <c:pt idx="37">
                  <c:v>0.28846153846153799</c:v>
                </c:pt>
                <c:pt idx="38">
                  <c:v>0.30240549828178698</c:v>
                </c:pt>
                <c:pt idx="39">
                  <c:v>0.96117122851686798</c:v>
                </c:pt>
                <c:pt idx="42">
                  <c:v>0.84574468085106402</c:v>
                </c:pt>
                <c:pt idx="43">
                  <c:v>1</c:v>
                </c:pt>
                <c:pt idx="44">
                  <c:v>1</c:v>
                </c:pt>
                <c:pt idx="45">
                  <c:v>0.97413793103448298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5-EE49-8A7D-DE7B31097B29}"/>
            </c:ext>
          </c:extLst>
        </c:ser>
        <c:ser>
          <c:idx val="2"/>
          <c:order val="1"/>
          <c:spPr>
            <a:pattFill prst="pct70">
              <a:fgClr>
                <a:srgbClr val="9411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'nw data'!$O$324:$O$369</c:f>
              <c:numCache>
                <c:formatCode>General</c:formatCode>
                <c:ptCount val="46"/>
                <c:pt idx="0">
                  <c:v>5.5555555555555601E-3</c:v>
                </c:pt>
                <c:pt idx="1">
                  <c:v>0.18333333333333299</c:v>
                </c:pt>
                <c:pt idx="2">
                  <c:v>0.327777777777778</c:v>
                </c:pt>
                <c:pt idx="3">
                  <c:v>0.88043478260869601</c:v>
                </c:pt>
                <c:pt idx="4">
                  <c:v>0.58333333333333304</c:v>
                </c:pt>
                <c:pt idx="5">
                  <c:v>0.122222222222222</c:v>
                </c:pt>
                <c:pt idx="6">
                  <c:v>9.5744680851063801E-2</c:v>
                </c:pt>
                <c:pt idx="7">
                  <c:v>7.2222222222222202E-2</c:v>
                </c:pt>
                <c:pt idx="8">
                  <c:v>0.01</c:v>
                </c:pt>
                <c:pt idx="9">
                  <c:v>1.1111111111111099E-2</c:v>
                </c:pt>
                <c:pt idx="10">
                  <c:v>0.15</c:v>
                </c:pt>
                <c:pt idx="11">
                  <c:v>0.201086956521739</c:v>
                </c:pt>
                <c:pt idx="12">
                  <c:v>0.34782608695652201</c:v>
                </c:pt>
                <c:pt idx="13">
                  <c:v>7.3863636363636395E-2</c:v>
                </c:pt>
                <c:pt idx="14">
                  <c:v>7.9787234042553196E-2</c:v>
                </c:pt>
                <c:pt idx="15">
                  <c:v>0.25</c:v>
                </c:pt>
                <c:pt idx="16">
                  <c:v>1.0416666666666701E-2</c:v>
                </c:pt>
                <c:pt idx="17">
                  <c:v>0.01</c:v>
                </c:pt>
                <c:pt idx="18">
                  <c:v>0.01</c:v>
                </c:pt>
                <c:pt idx="19">
                  <c:v>0.25414364640884002</c:v>
                </c:pt>
                <c:pt idx="20">
                  <c:v>0.86413043478260898</c:v>
                </c:pt>
                <c:pt idx="21">
                  <c:v>0.48977395048439198</c:v>
                </c:pt>
                <c:pt idx="22">
                  <c:v>3.3333333333333298E-2</c:v>
                </c:pt>
                <c:pt idx="23">
                  <c:v>0.01</c:v>
                </c:pt>
                <c:pt idx="24">
                  <c:v>5.5555555555555601E-3</c:v>
                </c:pt>
                <c:pt idx="25">
                  <c:v>5.5555555555555601E-3</c:v>
                </c:pt>
                <c:pt idx="26">
                  <c:v>4.95049504950495E-2</c:v>
                </c:pt>
                <c:pt idx="27">
                  <c:v>0.47872340425531901</c:v>
                </c:pt>
                <c:pt idx="28">
                  <c:v>0.25</c:v>
                </c:pt>
                <c:pt idx="29">
                  <c:v>0.01</c:v>
                </c:pt>
                <c:pt idx="30">
                  <c:v>1.0638297872340399E-2</c:v>
                </c:pt>
                <c:pt idx="31">
                  <c:v>0.01</c:v>
                </c:pt>
                <c:pt idx="32">
                  <c:v>0.01</c:v>
                </c:pt>
                <c:pt idx="33">
                  <c:v>0.13043478260869601</c:v>
                </c:pt>
                <c:pt idx="34">
                  <c:v>0.14893617021276601</c:v>
                </c:pt>
                <c:pt idx="35">
                  <c:v>0.22727272727272699</c:v>
                </c:pt>
                <c:pt idx="36">
                  <c:v>5.9782608695652197E-2</c:v>
                </c:pt>
                <c:pt idx="40">
                  <c:v>0.70652173913043503</c:v>
                </c:pt>
                <c:pt idx="41">
                  <c:v>0.28191489361702099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5-EE49-8A7D-DE7B31097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1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val>
            <c:numRef>
              <c:f>'nw data'!$N$370:$N$415</c:f>
              <c:numCache>
                <c:formatCode>General</c:formatCode>
                <c:ptCount val="46"/>
                <c:pt idx="0">
                  <c:v>0.659574468085106</c:v>
                </c:pt>
                <c:pt idx="1">
                  <c:v>0.19262520638415001</c:v>
                </c:pt>
                <c:pt idx="2">
                  <c:v>0.207667731629393</c:v>
                </c:pt>
                <c:pt idx="6">
                  <c:v>0.58854166666666696</c:v>
                </c:pt>
                <c:pt idx="7">
                  <c:v>0.98958333333333304</c:v>
                </c:pt>
                <c:pt idx="8">
                  <c:v>0.43229166666666702</c:v>
                </c:pt>
                <c:pt idx="37">
                  <c:v>0.17708333333333301</c:v>
                </c:pt>
                <c:pt idx="38">
                  <c:v>0.54166666666666696</c:v>
                </c:pt>
                <c:pt idx="39">
                  <c:v>0.96354166666666696</c:v>
                </c:pt>
                <c:pt idx="40">
                  <c:v>0.953125</c:v>
                </c:pt>
                <c:pt idx="41">
                  <c:v>0.80208333333333304</c:v>
                </c:pt>
                <c:pt idx="42">
                  <c:v>0.296875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D-8644-A2ED-81C5C9318970}"/>
            </c:ext>
          </c:extLst>
        </c:ser>
        <c:ser>
          <c:idx val="2"/>
          <c:order val="1"/>
          <c:spPr>
            <a:pattFill prst="pct70">
              <a:fgClr>
                <a:srgbClr val="9411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'nw data'!$O$370:$O$415</c:f>
              <c:numCache>
                <c:formatCode>General</c:formatCode>
                <c:ptCount val="46"/>
                <c:pt idx="3">
                  <c:v>5.2083333333333296E-3</c:v>
                </c:pt>
                <c:pt idx="4">
                  <c:v>0.14583333333333301</c:v>
                </c:pt>
                <c:pt idx="5">
                  <c:v>0.17708333333333301</c:v>
                </c:pt>
                <c:pt idx="9">
                  <c:v>1.09829763866008E-2</c:v>
                </c:pt>
                <c:pt idx="10">
                  <c:v>1.59829515183804E-2</c:v>
                </c:pt>
                <c:pt idx="11">
                  <c:v>0.109375</c:v>
                </c:pt>
                <c:pt idx="12">
                  <c:v>1.0416666666666701E-2</c:v>
                </c:pt>
                <c:pt idx="13">
                  <c:v>5.2083333333333296E-3</c:v>
                </c:pt>
                <c:pt idx="14">
                  <c:v>0.109375</c:v>
                </c:pt>
                <c:pt idx="15">
                  <c:v>0</c:v>
                </c:pt>
                <c:pt idx="16">
                  <c:v>0.219546742209632</c:v>
                </c:pt>
                <c:pt idx="17">
                  <c:v>0.171875</c:v>
                </c:pt>
                <c:pt idx="18">
                  <c:v>0.84895833333333304</c:v>
                </c:pt>
                <c:pt idx="19">
                  <c:v>0.5</c:v>
                </c:pt>
                <c:pt idx="20">
                  <c:v>0.39082855653986398</c:v>
                </c:pt>
                <c:pt idx="21">
                  <c:v>6.7708333333333301E-2</c:v>
                </c:pt>
                <c:pt idx="22">
                  <c:v>5.2083333333333296E-3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1.0416666666666701E-2</c:v>
                </c:pt>
                <c:pt idx="28">
                  <c:v>0.01</c:v>
                </c:pt>
                <c:pt idx="29">
                  <c:v>5.2083333333333296E-3</c:v>
                </c:pt>
                <c:pt idx="30">
                  <c:v>0.01</c:v>
                </c:pt>
                <c:pt idx="31">
                  <c:v>0.20833333333333301</c:v>
                </c:pt>
                <c:pt idx="32">
                  <c:v>5.7291666666666699E-2</c:v>
                </c:pt>
                <c:pt idx="33">
                  <c:v>6.7708333333333301E-2</c:v>
                </c:pt>
                <c:pt idx="34">
                  <c:v>0.13541666666666699</c:v>
                </c:pt>
                <c:pt idx="35">
                  <c:v>0.13020833333333301</c:v>
                </c:pt>
                <c:pt idx="36">
                  <c:v>5.7291666666666699E-2</c:v>
                </c:pt>
                <c:pt idx="43">
                  <c:v>1.5625E-2</c:v>
                </c:pt>
                <c:pt idx="44">
                  <c:v>0.26041666666666702</c:v>
                </c:pt>
                <c:pt idx="45">
                  <c:v>8.3333333333333297E-3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D-8644-A2ED-81C5C9318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val>
            <c:numRef>
              <c:f>'nw data'!$N$416:$N$461</c:f>
              <c:numCache>
                <c:formatCode>General</c:formatCode>
                <c:ptCount val="46"/>
                <c:pt idx="37">
                  <c:v>0.83854166666666696</c:v>
                </c:pt>
                <c:pt idx="38">
                  <c:v>0.93229166666666696</c:v>
                </c:pt>
                <c:pt idx="39">
                  <c:v>0.734375</c:v>
                </c:pt>
                <c:pt idx="40">
                  <c:v>0.92708333333333304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4-D841-9230-67A7745AFFDB}"/>
            </c:ext>
          </c:extLst>
        </c:ser>
        <c:ser>
          <c:idx val="2"/>
          <c:order val="1"/>
          <c:spPr>
            <a:pattFill prst="pct70">
              <a:fgClr>
                <a:srgbClr val="9411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'nw data'!$O$416:$O$461</c:f>
              <c:numCache>
                <c:formatCode>General</c:formatCode>
                <c:ptCount val="46"/>
                <c:pt idx="0">
                  <c:v>5.2083333333333296E-3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6.7708333333333301E-2</c:v>
                </c:pt>
                <c:pt idx="13">
                  <c:v>3.6496350364963501E-2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2.0833333333333301E-2</c:v>
                </c:pt>
                <c:pt idx="21">
                  <c:v>0.01</c:v>
                </c:pt>
                <c:pt idx="22">
                  <c:v>0.11413043478260899</c:v>
                </c:pt>
                <c:pt idx="23">
                  <c:v>0.26041666666666702</c:v>
                </c:pt>
                <c:pt idx="24">
                  <c:v>4.1666666666666699E-2</c:v>
                </c:pt>
                <c:pt idx="25">
                  <c:v>0.01</c:v>
                </c:pt>
                <c:pt idx="26">
                  <c:v>0.38020833333333298</c:v>
                </c:pt>
                <c:pt idx="27">
                  <c:v>0.01</c:v>
                </c:pt>
                <c:pt idx="28">
                  <c:v>5.2083333333333296E-3</c:v>
                </c:pt>
                <c:pt idx="29">
                  <c:v>0.13541666666666699</c:v>
                </c:pt>
                <c:pt idx="30">
                  <c:v>7.8125E-2</c:v>
                </c:pt>
                <c:pt idx="31">
                  <c:v>5.2083333333333296E-3</c:v>
                </c:pt>
                <c:pt idx="32">
                  <c:v>0.390625</c:v>
                </c:pt>
                <c:pt idx="33">
                  <c:v>0.328125</c:v>
                </c:pt>
                <c:pt idx="34">
                  <c:v>0.140625</c:v>
                </c:pt>
                <c:pt idx="35">
                  <c:v>0.35416666666666702</c:v>
                </c:pt>
                <c:pt idx="36">
                  <c:v>0.23958333333333301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24-D841-9230-67A7745AF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val>
            <c:numRef>
              <c:f>'nw data'!$N$462:$N$507</c:f>
              <c:numCache>
                <c:formatCode>General</c:formatCode>
                <c:ptCount val="46"/>
                <c:pt idx="0">
                  <c:v>1</c:v>
                </c:pt>
                <c:pt idx="1">
                  <c:v>0.99470899470899499</c:v>
                </c:pt>
                <c:pt idx="2">
                  <c:v>0.993991416309013</c:v>
                </c:pt>
                <c:pt idx="3">
                  <c:v>0.953125</c:v>
                </c:pt>
                <c:pt idx="4">
                  <c:v>0.49479166666666702</c:v>
                </c:pt>
                <c:pt idx="5">
                  <c:v>0.31770833333333298</c:v>
                </c:pt>
                <c:pt idx="38">
                  <c:v>0.703125</c:v>
                </c:pt>
                <c:pt idx="39">
                  <c:v>0.90104166666666696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3-8949-B014-3C168BC108FB}"/>
            </c:ext>
          </c:extLst>
        </c:ser>
        <c:ser>
          <c:idx val="2"/>
          <c:order val="1"/>
          <c:spPr>
            <a:pattFill prst="pct70">
              <a:fgClr>
                <a:srgbClr val="9411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'nw data'!$O$462:$O$507</c:f>
              <c:numCache>
                <c:formatCode>General</c:formatCode>
                <c:ptCount val="46"/>
                <c:pt idx="6">
                  <c:v>0.01</c:v>
                </c:pt>
                <c:pt idx="7">
                  <c:v>3.6458333333333301E-2</c:v>
                </c:pt>
                <c:pt idx="8">
                  <c:v>6.25E-2</c:v>
                </c:pt>
                <c:pt idx="9">
                  <c:v>0.01</c:v>
                </c:pt>
                <c:pt idx="10">
                  <c:v>5.2083333333333296E-3</c:v>
                </c:pt>
                <c:pt idx="11">
                  <c:v>5.2083333333333296E-3</c:v>
                </c:pt>
                <c:pt idx="12">
                  <c:v>0.01</c:v>
                </c:pt>
                <c:pt idx="13">
                  <c:v>1.0416666666666701E-2</c:v>
                </c:pt>
                <c:pt idx="14">
                  <c:v>0.114583333333333</c:v>
                </c:pt>
                <c:pt idx="15">
                  <c:v>3.6458333333333301E-2</c:v>
                </c:pt>
                <c:pt idx="16">
                  <c:v>0.41666666666666702</c:v>
                </c:pt>
                <c:pt idx="17">
                  <c:v>0.27604166666666702</c:v>
                </c:pt>
                <c:pt idx="18">
                  <c:v>3.6458333333333301E-2</c:v>
                </c:pt>
                <c:pt idx="19">
                  <c:v>1.0416666666666701E-2</c:v>
                </c:pt>
                <c:pt idx="20">
                  <c:v>6.25E-2</c:v>
                </c:pt>
                <c:pt idx="21">
                  <c:v>0.01</c:v>
                </c:pt>
                <c:pt idx="22">
                  <c:v>0.01</c:v>
                </c:pt>
                <c:pt idx="23">
                  <c:v>5.2083333333333296E-3</c:v>
                </c:pt>
                <c:pt idx="24">
                  <c:v>3.125E-2</c:v>
                </c:pt>
                <c:pt idx="25">
                  <c:v>3.6458333333333301E-2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1.5625E-2</c:v>
                </c:pt>
                <c:pt idx="30">
                  <c:v>1.5625E-2</c:v>
                </c:pt>
                <c:pt idx="31">
                  <c:v>0.140625</c:v>
                </c:pt>
                <c:pt idx="32">
                  <c:v>0.15625</c:v>
                </c:pt>
                <c:pt idx="33">
                  <c:v>0.328125</c:v>
                </c:pt>
                <c:pt idx="34">
                  <c:v>0.61458333333333304</c:v>
                </c:pt>
                <c:pt idx="35">
                  <c:v>0.51041666666666696</c:v>
                </c:pt>
                <c:pt idx="36">
                  <c:v>0.114583333333333</c:v>
                </c:pt>
                <c:pt idx="37">
                  <c:v>0.22395833333333301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D3-8949-B014-3C168BC1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val>
            <c:numRef>
              <c:f>'nw data'!$N$508:$N$553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0.90625</c:v>
                </c:pt>
                <c:pt idx="17">
                  <c:v>0.32291666666666702</c:v>
                </c:pt>
                <c:pt idx="18">
                  <c:v>0.47395833333333298</c:v>
                </c:pt>
                <c:pt idx="19">
                  <c:v>0.47916666666666702</c:v>
                </c:pt>
                <c:pt idx="20">
                  <c:v>0.98958333333333304</c:v>
                </c:pt>
                <c:pt idx="21">
                  <c:v>0.53125</c:v>
                </c:pt>
                <c:pt idx="22">
                  <c:v>0.23958333333333301</c:v>
                </c:pt>
                <c:pt idx="23">
                  <c:v>0.15625</c:v>
                </c:pt>
                <c:pt idx="41">
                  <c:v>0.546875</c:v>
                </c:pt>
                <c:pt idx="42">
                  <c:v>0.75</c:v>
                </c:pt>
                <c:pt idx="43">
                  <c:v>0.828125</c:v>
                </c:pt>
                <c:pt idx="44">
                  <c:v>0.96875</c:v>
                </c:pt>
                <c:pt idx="45">
                  <c:v>0.95833333333333304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E-4947-A7B7-14F4A1602438}"/>
            </c:ext>
          </c:extLst>
        </c:ser>
        <c:ser>
          <c:idx val="2"/>
          <c:order val="1"/>
          <c:spPr>
            <a:pattFill prst="pct70">
              <a:fgClr>
                <a:srgbClr val="9411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'nw data'!$O$508:$O$553</c:f>
              <c:numCache>
                <c:formatCode>General</c:formatCode>
                <c:ptCount val="46"/>
                <c:pt idx="3">
                  <c:v>0.60416666666666696</c:v>
                </c:pt>
                <c:pt idx="4">
                  <c:v>0.68229166666666696</c:v>
                </c:pt>
                <c:pt idx="5">
                  <c:v>0.296875</c:v>
                </c:pt>
                <c:pt idx="6">
                  <c:v>0.01</c:v>
                </c:pt>
                <c:pt idx="7">
                  <c:v>0.171875</c:v>
                </c:pt>
                <c:pt idx="8">
                  <c:v>0.19791666666666699</c:v>
                </c:pt>
                <c:pt idx="9">
                  <c:v>0.01</c:v>
                </c:pt>
                <c:pt idx="10">
                  <c:v>1.0416666666666701E-2</c:v>
                </c:pt>
                <c:pt idx="11">
                  <c:v>0.22395833333333301</c:v>
                </c:pt>
                <c:pt idx="12">
                  <c:v>0.15104166666666699</c:v>
                </c:pt>
                <c:pt idx="13">
                  <c:v>6.25E-2</c:v>
                </c:pt>
                <c:pt idx="14">
                  <c:v>0.703125</c:v>
                </c:pt>
                <c:pt idx="15">
                  <c:v>0.125</c:v>
                </c:pt>
                <c:pt idx="16">
                  <c:v>5.2083333333333301E-2</c:v>
                </c:pt>
                <c:pt idx="24">
                  <c:v>0.01</c:v>
                </c:pt>
                <c:pt idx="25">
                  <c:v>5.2083333333333296E-3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0.171875</c:v>
                </c:pt>
                <c:pt idx="32">
                  <c:v>5.2083333333333296E-3</c:v>
                </c:pt>
                <c:pt idx="33">
                  <c:v>0.104166666666667</c:v>
                </c:pt>
                <c:pt idx="34">
                  <c:v>6.7708333333333301E-2</c:v>
                </c:pt>
                <c:pt idx="35">
                  <c:v>0.71875</c:v>
                </c:pt>
                <c:pt idx="36">
                  <c:v>0.61458333333333304</c:v>
                </c:pt>
                <c:pt idx="37">
                  <c:v>0.546875</c:v>
                </c:pt>
                <c:pt idx="38">
                  <c:v>0.38541666666666702</c:v>
                </c:pt>
                <c:pt idx="39">
                  <c:v>2.0833333333333301E-2</c:v>
                </c:pt>
                <c:pt idx="40">
                  <c:v>4.1666666666666699E-2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E-4947-A7B7-14F4A1602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9722109848336E-2"/>
          <c:y val="5.3926178239921678E-2"/>
          <c:w val="0.92981483190861713"/>
          <c:h val="0.8809630765123819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41100"/>
            </a:solidFill>
            <a:ln>
              <a:noFill/>
            </a:ln>
            <a:effectLst/>
          </c:spPr>
          <c:invertIfNegative val="0"/>
          <c:val>
            <c:numRef>
              <c:f>'nw data'!$N$554:$N$599</c:f>
              <c:numCache>
                <c:formatCode>General</c:formatCode>
                <c:ptCount val="46"/>
                <c:pt idx="5">
                  <c:v>0.375</c:v>
                </c:pt>
                <c:pt idx="6">
                  <c:v>0.91145833333333304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B-E94A-B7D4-B15BC3620772}"/>
            </c:ext>
          </c:extLst>
        </c:ser>
        <c:ser>
          <c:idx val="2"/>
          <c:order val="1"/>
          <c:spPr>
            <a:pattFill prst="pct70">
              <a:fgClr>
                <a:srgbClr val="9411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'nw data'!$O$554:$O$599</c:f>
              <c:numCache>
                <c:formatCode>General</c:formatCode>
                <c:ptCount val="46"/>
                <c:pt idx="0">
                  <c:v>0.63541666666666696</c:v>
                </c:pt>
                <c:pt idx="1">
                  <c:v>0.84895833333333304</c:v>
                </c:pt>
                <c:pt idx="2">
                  <c:v>0.546875</c:v>
                </c:pt>
                <c:pt idx="3">
                  <c:v>0.328125</c:v>
                </c:pt>
                <c:pt idx="4">
                  <c:v>1.5657620041753698E-2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B-E94A-B7D4-B15BC3620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403260783"/>
        <c:axId val="393817103"/>
      </c:barChart>
      <c:catAx>
        <c:axId val="403260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3817103"/>
        <c:crosses val="autoZero"/>
        <c:auto val="1"/>
        <c:lblAlgn val="ctr"/>
        <c:lblOffset val="100"/>
        <c:noMultiLvlLbl val="0"/>
      </c:catAx>
      <c:valAx>
        <c:axId val="393817103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4032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31193</xdr:colOff>
      <xdr:row>2</xdr:row>
      <xdr:rowOff>29445</xdr:rowOff>
    </xdr:from>
    <xdr:to>
      <xdr:col>28</xdr:col>
      <xdr:colOff>64012</xdr:colOff>
      <xdr:row>20</xdr:row>
      <xdr:rowOff>20445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9ACB7-AFD6-7C42-9916-D6831AA48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296333</xdr:colOff>
      <xdr:row>20</xdr:row>
      <xdr:rowOff>186267</xdr:rowOff>
    </xdr:from>
    <xdr:to>
      <xdr:col>28</xdr:col>
      <xdr:colOff>329153</xdr:colOff>
      <xdr:row>38</xdr:row>
      <xdr:rowOff>185733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A9327C-2176-2B4C-9B7C-D06A4FDDC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279821</xdr:colOff>
      <xdr:row>39</xdr:row>
      <xdr:rowOff>26476</xdr:rowOff>
    </xdr:from>
    <xdr:to>
      <xdr:col>28</xdr:col>
      <xdr:colOff>312641</xdr:colOff>
      <xdr:row>57</xdr:row>
      <xdr:rowOff>32074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46BB82-4A34-EA4B-AC7B-C43C1AA02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390013</xdr:colOff>
      <xdr:row>59</xdr:row>
      <xdr:rowOff>820</xdr:rowOff>
    </xdr:from>
    <xdr:to>
      <xdr:col>28</xdr:col>
      <xdr:colOff>422833</xdr:colOff>
      <xdr:row>77</xdr:row>
      <xdr:rowOff>6417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53B781-0E65-5D43-B53A-301E92F39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368300</xdr:colOff>
      <xdr:row>131</xdr:row>
      <xdr:rowOff>38893</xdr:rowOff>
    </xdr:from>
    <xdr:to>
      <xdr:col>28</xdr:col>
      <xdr:colOff>401119</xdr:colOff>
      <xdr:row>149</xdr:row>
      <xdr:rowOff>44490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82AF01-D78C-A64D-AD46-15AD6C245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368300</xdr:colOff>
      <xdr:row>233</xdr:row>
      <xdr:rowOff>25400</xdr:rowOff>
    </xdr:from>
    <xdr:to>
      <xdr:col>29</xdr:col>
      <xdr:colOff>401119</xdr:colOff>
      <xdr:row>251</xdr:row>
      <xdr:rowOff>30997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F65273-EA45-2D46-9125-587939518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275</xdr:row>
      <xdr:rowOff>129152</xdr:rowOff>
    </xdr:from>
    <xdr:to>
      <xdr:col>29</xdr:col>
      <xdr:colOff>32819</xdr:colOff>
      <xdr:row>293</xdr:row>
      <xdr:rowOff>134750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70165D-864D-954A-A4B2-863CE0D61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740834</xdr:colOff>
      <xdr:row>325</xdr:row>
      <xdr:rowOff>30239</xdr:rowOff>
    </xdr:from>
    <xdr:to>
      <xdr:col>28</xdr:col>
      <xdr:colOff>773653</xdr:colOff>
      <xdr:row>343</xdr:row>
      <xdr:rowOff>35837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0F8B9F-6325-F64F-8297-C0BB2CA92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686821</xdr:colOff>
      <xdr:row>371</xdr:row>
      <xdr:rowOff>170282</xdr:rowOff>
    </xdr:from>
    <xdr:to>
      <xdr:col>28</xdr:col>
      <xdr:colOff>714896</xdr:colOff>
      <xdr:row>389</xdr:row>
      <xdr:rowOff>175880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67ACE0-B26B-AE44-96F9-B2ED933D8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664876</xdr:colOff>
      <xdr:row>419</xdr:row>
      <xdr:rowOff>134814</xdr:rowOff>
    </xdr:from>
    <xdr:to>
      <xdr:col>28</xdr:col>
      <xdr:colOff>711797</xdr:colOff>
      <xdr:row>437</xdr:row>
      <xdr:rowOff>140412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5549244-E896-2745-944C-C0DD236BC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635000</xdr:colOff>
      <xdr:row>461</xdr:row>
      <xdr:rowOff>127000</xdr:rowOff>
    </xdr:from>
    <xdr:to>
      <xdr:col>29</xdr:col>
      <xdr:colOff>681921</xdr:colOff>
      <xdr:row>479</xdr:row>
      <xdr:rowOff>132598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D30E4EC-31BA-1546-ABA1-7389D9670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328449</xdr:colOff>
      <xdr:row>505</xdr:row>
      <xdr:rowOff>175172</xdr:rowOff>
    </xdr:from>
    <xdr:to>
      <xdr:col>29</xdr:col>
      <xdr:colOff>375370</xdr:colOff>
      <xdr:row>523</xdr:row>
      <xdr:rowOff>180771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F9B7F83-50B5-0D4E-8960-F03AF42A4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812800</xdr:colOff>
      <xdr:row>560</xdr:row>
      <xdr:rowOff>25400</xdr:rowOff>
    </xdr:from>
    <xdr:to>
      <xdr:col>30</xdr:col>
      <xdr:colOff>21521</xdr:colOff>
      <xdr:row>578</xdr:row>
      <xdr:rowOff>30999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A31B66-7605-2342-A3C8-B0C2E09AC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E75C-9FE3-9C49-9C73-324B34381BC2}">
  <dimension ref="A1:T599"/>
  <sheetViews>
    <sheetView topLeftCell="A3" zoomScale="56" zoomScaleNormal="69" workbookViewId="0">
      <selection activeCell="S90" sqref="S90"/>
    </sheetView>
  </sheetViews>
  <sheetFormatPr baseColWidth="10" defaultRowHeight="16" x14ac:dyDescent="0.2"/>
  <cols>
    <col min="8" max="8" width="14.33203125" bestFit="1" customWidth="1"/>
    <col min="9" max="9" width="16.83203125" customWidth="1"/>
    <col min="15" max="16" width="14.33203125" bestFit="1" customWidth="1"/>
    <col min="19" max="19" width="10.83203125" customWidth="1"/>
    <col min="20" max="20" width="10.83203125" style="1" customWidth="1"/>
  </cols>
  <sheetData>
    <row r="1" spans="1:20" x14ac:dyDescent="0.2">
      <c r="A1" s="19"/>
      <c r="B1" s="6" t="s">
        <v>30</v>
      </c>
      <c r="C1" s="6" t="s">
        <v>29</v>
      </c>
      <c r="D1" s="6" t="s">
        <v>28</v>
      </c>
      <c r="E1" s="6" t="s">
        <v>27</v>
      </c>
      <c r="F1" s="6" t="s">
        <v>26</v>
      </c>
      <c r="G1" s="6" t="s">
        <v>25</v>
      </c>
      <c r="H1" s="6" t="s">
        <v>19</v>
      </c>
      <c r="I1" s="6" t="s">
        <v>24</v>
      </c>
      <c r="J1" s="6" t="s">
        <v>23</v>
      </c>
      <c r="K1" s="6" t="s">
        <v>22</v>
      </c>
      <c r="N1" s="6" t="s">
        <v>21</v>
      </c>
      <c r="O1" s="18" t="s">
        <v>20</v>
      </c>
      <c r="P1" s="6" t="s">
        <v>19</v>
      </c>
      <c r="Q1" s="6" t="s">
        <v>18</v>
      </c>
      <c r="R1" s="6" t="s">
        <v>17</v>
      </c>
      <c r="T1" s="1" t="s">
        <v>16</v>
      </c>
    </row>
    <row r="2" spans="1:20" x14ac:dyDescent="0.2">
      <c r="A2" s="6">
        <v>1</v>
      </c>
      <c r="B2" s="3">
        <v>37257</v>
      </c>
      <c r="C2" s="4">
        <v>0.15565643261404699</v>
      </c>
      <c r="D2" s="4">
        <v>0.147784769535065</v>
      </c>
      <c r="E2" s="4">
        <v>160.69999999999999</v>
      </c>
      <c r="F2" s="4">
        <v>160.69999999999999</v>
      </c>
      <c r="G2" s="4">
        <v>29.51984375</v>
      </c>
      <c r="H2" s="4">
        <v>1</v>
      </c>
      <c r="I2" s="4">
        <v>0.32601536772777201</v>
      </c>
      <c r="J2" s="4">
        <v>1</v>
      </c>
      <c r="K2" s="4">
        <v>2002</v>
      </c>
      <c r="L2">
        <v>2002</v>
      </c>
      <c r="M2" s="5" t="s">
        <v>12</v>
      </c>
      <c r="N2" s="4">
        <v>1</v>
      </c>
      <c r="P2" s="4">
        <v>1</v>
      </c>
      <c r="Q2" s="4"/>
      <c r="R2" s="4">
        <v>1</v>
      </c>
      <c r="S2" s="3">
        <v>37257</v>
      </c>
      <c r="T2" s="2">
        <f>IF(N2&gt;0,1,0)</f>
        <v>1</v>
      </c>
    </row>
    <row r="3" spans="1:20" x14ac:dyDescent="0.2">
      <c r="A3" s="6">
        <v>2</v>
      </c>
      <c r="B3" s="3">
        <v>37265</v>
      </c>
      <c r="C3" s="4" t="s">
        <v>0</v>
      </c>
      <c r="D3" s="4" t="s">
        <v>0</v>
      </c>
      <c r="E3" s="4">
        <v>182.2</v>
      </c>
      <c r="F3" s="4">
        <v>59.4</v>
      </c>
      <c r="G3" s="4">
        <v>28.9381770833334</v>
      </c>
      <c r="H3" s="4">
        <v>0.32601536772777201</v>
      </c>
      <c r="I3" s="4">
        <v>0.31770833333333298</v>
      </c>
      <c r="J3" s="4">
        <v>1</v>
      </c>
      <c r="K3" s="4">
        <v>2002</v>
      </c>
      <c r="M3" s="5"/>
      <c r="N3" s="4">
        <v>0.32601536772777201</v>
      </c>
      <c r="P3" s="4">
        <v>0.32601536772777201</v>
      </c>
      <c r="Q3" s="4">
        <f>(P3-P2)/P2</f>
        <v>-0.67398463227222805</v>
      </c>
      <c r="R3" s="4">
        <v>2</v>
      </c>
      <c r="S3" s="3">
        <v>37265</v>
      </c>
      <c r="T3" s="2">
        <f>IF(N3&gt;0,1,0)</f>
        <v>1</v>
      </c>
    </row>
    <row r="4" spans="1:20" x14ac:dyDescent="0.2">
      <c r="A4" s="6">
        <v>3</v>
      </c>
      <c r="B4" s="3">
        <v>37273</v>
      </c>
      <c r="C4" s="4" t="s">
        <v>0</v>
      </c>
      <c r="D4" s="4" t="s">
        <v>0</v>
      </c>
      <c r="E4" s="4">
        <v>192</v>
      </c>
      <c r="F4" s="4">
        <v>61</v>
      </c>
      <c r="G4" s="4">
        <v>28.421302083333298</v>
      </c>
      <c r="H4" s="4">
        <v>0.31770833333333298</v>
      </c>
      <c r="I4" s="4">
        <v>0.109375</v>
      </c>
      <c r="J4" s="4">
        <v>1</v>
      </c>
      <c r="K4" s="4">
        <v>2002</v>
      </c>
      <c r="M4" s="5"/>
      <c r="N4" s="4">
        <v>0.31770833333333298</v>
      </c>
      <c r="P4" s="4">
        <v>0.31770833333333298</v>
      </c>
      <c r="Q4" s="4">
        <f>(P4-P3)/P3</f>
        <v>-2.5480499438834837E-2</v>
      </c>
      <c r="R4" s="4">
        <v>3</v>
      </c>
      <c r="S4" s="3">
        <v>37273</v>
      </c>
      <c r="T4" s="2">
        <f>IF(N4&gt;0,1,0)</f>
        <v>1</v>
      </c>
    </row>
    <row r="5" spans="1:20" x14ac:dyDescent="0.2">
      <c r="A5" s="6">
        <v>4</v>
      </c>
      <c r="B5" s="10">
        <v>37281</v>
      </c>
      <c r="C5" s="4" t="s">
        <v>0</v>
      </c>
      <c r="D5" s="4" t="s">
        <v>0</v>
      </c>
      <c r="E5" s="4">
        <v>192</v>
      </c>
      <c r="F5" s="4">
        <v>21</v>
      </c>
      <c r="G5" s="4">
        <v>27.898828125000001</v>
      </c>
      <c r="H5" s="4">
        <v>0.109375</v>
      </c>
      <c r="I5" s="4">
        <v>5.2083333333333296E-3</v>
      </c>
      <c r="J5" s="4">
        <v>1</v>
      </c>
      <c r="K5" s="4">
        <v>2002</v>
      </c>
      <c r="M5" s="5"/>
      <c r="N5" s="4">
        <v>0.109375</v>
      </c>
      <c r="P5" s="4">
        <v>0.109375</v>
      </c>
      <c r="Q5" s="4">
        <f>(P5-P4)/P4</f>
        <v>-0.6557377049180324</v>
      </c>
      <c r="R5" s="4">
        <v>4</v>
      </c>
      <c r="S5" s="10">
        <v>37281</v>
      </c>
      <c r="T5" s="2">
        <f>IF(N5&gt;0,1,0)</f>
        <v>1</v>
      </c>
    </row>
    <row r="6" spans="1:20" x14ac:dyDescent="0.2">
      <c r="A6" s="6">
        <v>5</v>
      </c>
      <c r="B6" s="3">
        <v>37289</v>
      </c>
      <c r="C6" s="4">
        <v>0.17164048989011799</v>
      </c>
      <c r="D6" s="4" t="s">
        <v>0</v>
      </c>
      <c r="E6" s="4">
        <v>192</v>
      </c>
      <c r="F6" s="4">
        <v>1</v>
      </c>
      <c r="G6" s="4">
        <v>27.868072916666701</v>
      </c>
      <c r="H6" s="4">
        <v>5.2083333333333296E-3</v>
      </c>
      <c r="I6" s="4">
        <v>5.7291666666666699E-2</v>
      </c>
      <c r="J6" s="4">
        <v>2</v>
      </c>
      <c r="K6" s="4">
        <v>2002</v>
      </c>
      <c r="M6" s="5" t="s">
        <v>11</v>
      </c>
      <c r="O6" s="4">
        <v>5.2083333333333296E-3</v>
      </c>
      <c r="P6" s="4">
        <v>5.2083333333333296E-3</v>
      </c>
      <c r="Q6" s="9">
        <f>(P6-P5)/P5</f>
        <v>-0.95238095238095244</v>
      </c>
      <c r="R6" s="4">
        <v>5</v>
      </c>
      <c r="S6" s="3">
        <v>37289</v>
      </c>
      <c r="T6" s="2">
        <f>IF(N6&gt;0,1,0)</f>
        <v>0</v>
      </c>
    </row>
    <row r="7" spans="1:20" x14ac:dyDescent="0.2">
      <c r="A7" s="6">
        <v>6</v>
      </c>
      <c r="B7" s="3">
        <v>37297</v>
      </c>
      <c r="C7" s="4">
        <v>0.161377566093105</v>
      </c>
      <c r="D7" s="4" t="s">
        <v>0</v>
      </c>
      <c r="E7" s="4">
        <v>192</v>
      </c>
      <c r="F7" s="4">
        <v>11</v>
      </c>
      <c r="G7" s="4">
        <v>28.500104166666599</v>
      </c>
      <c r="H7" s="4">
        <v>5.7291666666666699E-2</v>
      </c>
      <c r="I7" s="4">
        <v>6.7708333333333301E-2</v>
      </c>
      <c r="J7" s="4">
        <v>2</v>
      </c>
      <c r="K7" s="4">
        <v>2002</v>
      </c>
      <c r="M7" s="5"/>
      <c r="O7" s="4">
        <v>5.7291666666666699E-2</v>
      </c>
      <c r="P7" s="4">
        <v>5.7291666666666699E-2</v>
      </c>
      <c r="Q7" s="4">
        <f>(P7-P6)/P6</f>
        <v>10.000000000000014</v>
      </c>
      <c r="R7" s="4">
        <v>6</v>
      </c>
      <c r="S7" s="3">
        <v>37297</v>
      </c>
      <c r="T7" s="2">
        <f>IF(N7&gt;0,1,0)</f>
        <v>0</v>
      </c>
    </row>
    <row r="8" spans="1:20" x14ac:dyDescent="0.2">
      <c r="A8" s="6">
        <v>7</v>
      </c>
      <c r="B8" s="3">
        <v>37305</v>
      </c>
      <c r="C8" s="4">
        <v>0.123349564370289</v>
      </c>
      <c r="D8" s="4">
        <v>0.10271063322822301</v>
      </c>
      <c r="E8" s="4">
        <v>192</v>
      </c>
      <c r="F8" s="4">
        <v>13</v>
      </c>
      <c r="G8" s="4">
        <v>28.876328125000001</v>
      </c>
      <c r="H8" s="4">
        <v>6.7708333333333301E-2</v>
      </c>
      <c r="I8" s="4">
        <v>0.13541666666666699</v>
      </c>
      <c r="J8" s="4">
        <v>2</v>
      </c>
      <c r="K8" s="4">
        <v>2002</v>
      </c>
      <c r="M8" s="5"/>
      <c r="O8" s="4">
        <v>6.7708333333333301E-2</v>
      </c>
      <c r="P8" s="4">
        <v>6.7708333333333301E-2</v>
      </c>
      <c r="Q8" s="4">
        <f>(P8-P7)/P7</f>
        <v>0.18181818181818057</v>
      </c>
      <c r="R8" s="4">
        <v>7</v>
      </c>
      <c r="S8" s="3">
        <v>37305</v>
      </c>
      <c r="T8" s="2">
        <f>IF(N8&gt;0,1,0)</f>
        <v>0</v>
      </c>
    </row>
    <row r="9" spans="1:20" x14ac:dyDescent="0.2">
      <c r="A9" s="6">
        <v>8</v>
      </c>
      <c r="B9" s="3">
        <v>37313</v>
      </c>
      <c r="C9" s="4">
        <v>0.119859264640928</v>
      </c>
      <c r="D9" s="4">
        <v>0.10332286854585</v>
      </c>
      <c r="E9" s="4">
        <v>192</v>
      </c>
      <c r="F9" s="4">
        <v>26</v>
      </c>
      <c r="G9" s="4">
        <v>28.836692708333299</v>
      </c>
      <c r="H9" s="4">
        <v>0.13541666666666699</v>
      </c>
      <c r="I9" s="4">
        <v>0</v>
      </c>
      <c r="J9" s="4">
        <v>2</v>
      </c>
      <c r="K9" s="4">
        <v>2002</v>
      </c>
      <c r="M9" s="5"/>
      <c r="O9" s="4">
        <v>0.13541666666666699</v>
      </c>
      <c r="P9" s="4">
        <v>0.13541666666666699</v>
      </c>
      <c r="Q9" s="4">
        <f>(P9-P8)/P8</f>
        <v>1.0000000000000058</v>
      </c>
      <c r="R9" s="4">
        <v>8</v>
      </c>
      <c r="S9" s="3">
        <v>37313</v>
      </c>
      <c r="T9" s="2">
        <f>IF(N9&gt;0,1,0)</f>
        <v>0</v>
      </c>
    </row>
    <row r="10" spans="1:20" x14ac:dyDescent="0.2">
      <c r="A10" s="6">
        <v>9</v>
      </c>
      <c r="B10" s="3">
        <v>37321</v>
      </c>
      <c r="C10" s="4">
        <v>0.136349792733337</v>
      </c>
      <c r="D10" s="4">
        <v>0.137155210971832</v>
      </c>
      <c r="E10" s="4">
        <v>192</v>
      </c>
      <c r="F10" s="4">
        <v>0</v>
      </c>
      <c r="G10" s="4">
        <v>28.839635416666699</v>
      </c>
      <c r="H10" s="4">
        <v>0</v>
      </c>
      <c r="I10" s="4">
        <v>3.1282586027111599E-2</v>
      </c>
      <c r="J10" s="4">
        <v>3</v>
      </c>
      <c r="K10" s="4">
        <v>2002</v>
      </c>
      <c r="M10" s="5" t="s">
        <v>10</v>
      </c>
      <c r="O10" s="4">
        <v>0.01</v>
      </c>
      <c r="P10" s="4">
        <v>0.01</v>
      </c>
      <c r="Q10" s="4">
        <f>(P10-P9)/P9</f>
        <v>-0.92615384615384622</v>
      </c>
      <c r="R10" s="4">
        <v>9</v>
      </c>
      <c r="S10" s="3">
        <v>37321</v>
      </c>
      <c r="T10" s="2">
        <f>IF(N10&gt;0,1,0)</f>
        <v>0</v>
      </c>
    </row>
    <row r="11" spans="1:20" x14ac:dyDescent="0.2">
      <c r="A11" s="6">
        <v>10</v>
      </c>
      <c r="B11" s="3">
        <v>37329</v>
      </c>
      <c r="C11" s="4">
        <v>0.153065141031726</v>
      </c>
      <c r="D11" s="4">
        <v>0.139114117870728</v>
      </c>
      <c r="E11" s="4">
        <v>191.8</v>
      </c>
      <c r="F11" s="4">
        <v>6</v>
      </c>
      <c r="G11" s="4">
        <v>28.7693489583333</v>
      </c>
      <c r="H11" s="4">
        <v>3.1282586027111599E-2</v>
      </c>
      <c r="I11" s="4">
        <v>3.6458333333333301E-2</v>
      </c>
      <c r="J11" s="4">
        <v>3</v>
      </c>
      <c r="K11" s="4">
        <v>2002</v>
      </c>
      <c r="M11" s="5"/>
      <c r="O11" s="4">
        <v>3.1282586027111599E-2</v>
      </c>
      <c r="P11" s="4">
        <v>3.1282586027111599E-2</v>
      </c>
      <c r="Q11" s="4">
        <f>(P11-P10)/P10</f>
        <v>2.1282586027111599</v>
      </c>
      <c r="R11" s="4">
        <v>10</v>
      </c>
      <c r="S11" s="3">
        <v>37329</v>
      </c>
      <c r="T11" s="2">
        <f>IF(N11&gt;0,1,0)</f>
        <v>0</v>
      </c>
    </row>
    <row r="12" spans="1:20" x14ac:dyDescent="0.2">
      <c r="A12" s="6">
        <v>11</v>
      </c>
      <c r="B12" s="3">
        <v>37337</v>
      </c>
      <c r="C12" s="4">
        <v>0.12293780435408901</v>
      </c>
      <c r="D12" s="4" t="s">
        <v>0</v>
      </c>
      <c r="E12" s="4">
        <v>192</v>
      </c>
      <c r="F12" s="4">
        <v>7</v>
      </c>
      <c r="G12" s="4">
        <v>28.943515625</v>
      </c>
      <c r="H12" s="4">
        <v>3.6458333333333301E-2</v>
      </c>
      <c r="I12" s="4">
        <v>0</v>
      </c>
      <c r="J12" s="4">
        <v>3</v>
      </c>
      <c r="K12" s="4">
        <v>2002</v>
      </c>
      <c r="M12" s="5"/>
      <c r="O12" s="4">
        <v>3.6458333333333301E-2</v>
      </c>
      <c r="P12" s="4">
        <v>3.6458333333333301E-2</v>
      </c>
      <c r="Q12" s="4">
        <f>(P12-P11)/P11</f>
        <v>0.16545138888888694</v>
      </c>
      <c r="R12" s="4">
        <v>11</v>
      </c>
      <c r="S12" s="3">
        <v>37337</v>
      </c>
      <c r="T12" s="2">
        <f>IF(N12&gt;0,1,0)</f>
        <v>0</v>
      </c>
    </row>
    <row r="13" spans="1:20" x14ac:dyDescent="0.2">
      <c r="A13" s="6">
        <v>12</v>
      </c>
      <c r="B13" s="3">
        <v>37345</v>
      </c>
      <c r="C13" s="4">
        <v>0.12866934968365601</v>
      </c>
      <c r="D13" s="4">
        <v>0.118178501725197</v>
      </c>
      <c r="E13" s="4">
        <v>192</v>
      </c>
      <c r="F13" s="4">
        <v>0</v>
      </c>
      <c r="G13" s="4">
        <v>29.086770833333301</v>
      </c>
      <c r="H13" s="4">
        <v>0</v>
      </c>
      <c r="I13" s="4">
        <v>0</v>
      </c>
      <c r="J13" s="4">
        <v>3</v>
      </c>
      <c r="K13" s="4">
        <v>2002</v>
      </c>
      <c r="M13" s="5"/>
      <c r="O13" s="4">
        <v>0.01</v>
      </c>
      <c r="P13" s="4">
        <v>0.01</v>
      </c>
      <c r="Q13" s="4">
        <f>(P13-P12)/P12</f>
        <v>-0.72571428571428542</v>
      </c>
      <c r="R13" s="4">
        <v>12</v>
      </c>
      <c r="S13" s="3">
        <v>37345</v>
      </c>
      <c r="T13" s="2">
        <f>IF(N13&gt;0,1,0)</f>
        <v>0</v>
      </c>
    </row>
    <row r="14" spans="1:20" x14ac:dyDescent="0.2">
      <c r="A14" s="6">
        <v>13</v>
      </c>
      <c r="B14" s="3">
        <v>37353</v>
      </c>
      <c r="C14" s="4">
        <v>0.106960016199284</v>
      </c>
      <c r="D14" s="4">
        <v>9.8687224090099293E-2</v>
      </c>
      <c r="E14" s="4">
        <v>192</v>
      </c>
      <c r="F14" s="4">
        <v>0</v>
      </c>
      <c r="G14" s="4">
        <v>29.209765624999999</v>
      </c>
      <c r="H14" s="4">
        <v>0</v>
      </c>
      <c r="I14" s="4">
        <v>0</v>
      </c>
      <c r="J14" s="4">
        <v>4</v>
      </c>
      <c r="K14" s="4">
        <v>2002</v>
      </c>
      <c r="M14" s="5" t="s">
        <v>9</v>
      </c>
      <c r="O14" s="4">
        <v>0.01</v>
      </c>
      <c r="P14" s="4">
        <v>0.01</v>
      </c>
      <c r="Q14" s="4">
        <f>(P14-P13)/P13</f>
        <v>0</v>
      </c>
      <c r="R14" s="4">
        <v>13</v>
      </c>
      <c r="S14" s="3">
        <v>37353</v>
      </c>
      <c r="T14" s="2">
        <f>IF(N14&gt;0,1,0)</f>
        <v>0</v>
      </c>
    </row>
    <row r="15" spans="1:20" x14ac:dyDescent="0.2">
      <c r="A15" s="6">
        <v>14</v>
      </c>
      <c r="B15" s="3">
        <v>37361</v>
      </c>
      <c r="C15" s="4">
        <v>0.13368917677466199</v>
      </c>
      <c r="D15" s="4">
        <v>0.106652824829022</v>
      </c>
      <c r="E15" s="4">
        <v>192</v>
      </c>
      <c r="F15" s="4">
        <v>0</v>
      </c>
      <c r="G15" s="4">
        <v>29.303932291666701</v>
      </c>
      <c r="H15" s="4">
        <v>0</v>
      </c>
      <c r="I15" s="4">
        <v>0</v>
      </c>
      <c r="J15" s="4">
        <v>4</v>
      </c>
      <c r="K15" s="4">
        <v>2002</v>
      </c>
      <c r="M15" s="5"/>
      <c r="O15" s="4">
        <v>0.01</v>
      </c>
      <c r="P15" s="4">
        <v>0.01</v>
      </c>
      <c r="Q15" s="4">
        <f>(P15-P14)/P14</f>
        <v>0</v>
      </c>
      <c r="R15" s="4">
        <v>14</v>
      </c>
      <c r="S15" s="3">
        <v>37361</v>
      </c>
      <c r="T15" s="2">
        <f>IF(N15&gt;0,1,0)</f>
        <v>0</v>
      </c>
    </row>
    <row r="16" spans="1:20" x14ac:dyDescent="0.2">
      <c r="A16" s="6">
        <v>15</v>
      </c>
      <c r="B16" s="3">
        <v>37369</v>
      </c>
      <c r="C16" s="4">
        <v>0.119386866945645</v>
      </c>
      <c r="D16" s="4" t="s">
        <v>0</v>
      </c>
      <c r="E16" s="4">
        <v>192</v>
      </c>
      <c r="F16" s="4">
        <v>0</v>
      </c>
      <c r="G16" s="4">
        <v>29.232317708333301</v>
      </c>
      <c r="H16" s="4">
        <v>0</v>
      </c>
      <c r="I16" s="4">
        <v>2.6041666666666699E-2</v>
      </c>
      <c r="J16" s="4">
        <v>4</v>
      </c>
      <c r="K16" s="4">
        <v>2002</v>
      </c>
      <c r="M16" s="5"/>
      <c r="O16" s="4">
        <v>0.01</v>
      </c>
      <c r="P16" s="4">
        <v>0.01</v>
      </c>
      <c r="Q16" s="4">
        <f>(P16-P15)/P15</f>
        <v>0</v>
      </c>
      <c r="R16" s="4">
        <v>15</v>
      </c>
      <c r="S16" s="3">
        <v>37369</v>
      </c>
      <c r="T16" s="2">
        <f>IF(N16&gt;0,1,0)</f>
        <v>0</v>
      </c>
    </row>
    <row r="17" spans="1:20" x14ac:dyDescent="0.2">
      <c r="A17" s="6">
        <v>16</v>
      </c>
      <c r="B17" s="3">
        <v>37377</v>
      </c>
      <c r="C17" s="4">
        <v>0.11477204130112501</v>
      </c>
      <c r="D17" s="4">
        <v>0.100899843499064</v>
      </c>
      <c r="E17" s="4">
        <v>192</v>
      </c>
      <c r="F17" s="4">
        <v>5</v>
      </c>
      <c r="G17" s="4">
        <v>29.1116666666667</v>
      </c>
      <c r="H17" s="4">
        <v>2.6041666666666699E-2</v>
      </c>
      <c r="I17" s="4">
        <v>3.125E-2</v>
      </c>
      <c r="J17" s="4">
        <v>5</v>
      </c>
      <c r="K17" s="4">
        <v>2002</v>
      </c>
      <c r="M17" s="5" t="s">
        <v>8</v>
      </c>
      <c r="O17" s="4">
        <v>2.6041666666666699E-2</v>
      </c>
      <c r="P17" s="4">
        <v>2.6041666666666699E-2</v>
      </c>
      <c r="Q17" s="4">
        <f>(P17-P16)/P16</f>
        <v>1.6041666666666696</v>
      </c>
      <c r="R17" s="4">
        <v>16</v>
      </c>
      <c r="S17" s="3">
        <v>37377</v>
      </c>
      <c r="T17" s="2">
        <f>IF(N17&gt;0,1,0)</f>
        <v>0</v>
      </c>
    </row>
    <row r="18" spans="1:20" x14ac:dyDescent="0.2">
      <c r="A18" s="6">
        <v>17</v>
      </c>
      <c r="B18" s="3">
        <v>37385</v>
      </c>
      <c r="C18" s="4">
        <v>0.123646676695595</v>
      </c>
      <c r="D18" s="4">
        <v>0.110371553649505</v>
      </c>
      <c r="E18" s="4">
        <v>192</v>
      </c>
      <c r="F18" s="4">
        <v>6</v>
      </c>
      <c r="G18" s="4">
        <v>29.078020833333301</v>
      </c>
      <c r="H18" s="4">
        <v>3.125E-2</v>
      </c>
      <c r="I18" s="4">
        <v>2.6041666666666699E-2</v>
      </c>
      <c r="J18" s="4">
        <v>5</v>
      </c>
      <c r="K18" s="4">
        <v>2002</v>
      </c>
      <c r="M18" s="5"/>
      <c r="O18" s="4">
        <v>3.125E-2</v>
      </c>
      <c r="P18" s="4">
        <v>3.125E-2</v>
      </c>
      <c r="Q18" s="4">
        <f>(P18-P17)/P17</f>
        <v>0.19999999999999851</v>
      </c>
      <c r="R18" s="4">
        <v>17</v>
      </c>
      <c r="S18" s="3">
        <v>37385</v>
      </c>
      <c r="T18" s="2">
        <f>IF(N18&gt;0,1,0)</f>
        <v>0</v>
      </c>
    </row>
    <row r="19" spans="1:20" x14ac:dyDescent="0.2">
      <c r="A19" s="6">
        <v>18</v>
      </c>
      <c r="B19" s="3">
        <v>37393</v>
      </c>
      <c r="C19" s="4">
        <v>0.116950416898394</v>
      </c>
      <c r="D19" s="4">
        <v>0.113629161069791</v>
      </c>
      <c r="E19" s="4">
        <v>192</v>
      </c>
      <c r="F19" s="4">
        <v>5</v>
      </c>
      <c r="G19" s="4">
        <v>28.905156250000001</v>
      </c>
      <c r="H19" s="4">
        <v>2.6041666666666699E-2</v>
      </c>
      <c r="I19" s="4">
        <v>5.2083333333333296E-3</v>
      </c>
      <c r="J19" s="4">
        <v>5</v>
      </c>
      <c r="K19" s="4">
        <v>2002</v>
      </c>
      <c r="M19" s="5"/>
      <c r="O19" s="4">
        <v>2.6041666666666699E-2</v>
      </c>
      <c r="P19" s="4">
        <v>2.6041666666666699E-2</v>
      </c>
      <c r="Q19" s="4">
        <f>(P19-P18)/P18</f>
        <v>-0.16666666666666563</v>
      </c>
      <c r="R19" s="4">
        <v>18</v>
      </c>
      <c r="S19" s="3">
        <v>37393</v>
      </c>
      <c r="T19" s="2">
        <f>IF(N19&gt;0,1,0)</f>
        <v>0</v>
      </c>
    </row>
    <row r="20" spans="1:20" x14ac:dyDescent="0.2">
      <c r="A20" s="6">
        <v>19</v>
      </c>
      <c r="B20" s="3">
        <v>37401</v>
      </c>
      <c r="C20" s="4">
        <v>0.11667089825952</v>
      </c>
      <c r="D20" s="4">
        <v>8.9590332160393402E-2</v>
      </c>
      <c r="E20" s="4">
        <v>192</v>
      </c>
      <c r="F20" s="4">
        <v>1</v>
      </c>
      <c r="G20" s="4">
        <v>28.909088541666701</v>
      </c>
      <c r="H20" s="4">
        <v>5.2083333333333296E-3</v>
      </c>
      <c r="I20" s="4">
        <v>0</v>
      </c>
      <c r="J20" s="4">
        <v>5</v>
      </c>
      <c r="K20" s="4">
        <v>2002</v>
      </c>
      <c r="M20" s="5"/>
      <c r="O20" s="4">
        <v>5.2083333333333296E-3</v>
      </c>
      <c r="P20" s="4">
        <v>5.2083333333333296E-3</v>
      </c>
      <c r="Q20" s="4">
        <f>(P20-P19)/P19</f>
        <v>-0.80000000000000038</v>
      </c>
      <c r="R20" s="4">
        <v>19</v>
      </c>
      <c r="S20" s="3">
        <v>37401</v>
      </c>
      <c r="T20" s="2">
        <f>IF(N20&gt;0,1,0)</f>
        <v>0</v>
      </c>
    </row>
    <row r="21" spans="1:20" x14ac:dyDescent="0.2">
      <c r="A21" s="6">
        <v>20</v>
      </c>
      <c r="B21" s="3">
        <v>37409</v>
      </c>
      <c r="C21" s="4">
        <v>0.14917230245567101</v>
      </c>
      <c r="D21" s="4">
        <v>6.7738451063633007E-2</v>
      </c>
      <c r="E21" s="4">
        <v>192</v>
      </c>
      <c r="F21" s="4">
        <v>0</v>
      </c>
      <c r="G21" s="4">
        <v>28.402083333333302</v>
      </c>
      <c r="H21" s="4">
        <v>0</v>
      </c>
      <c r="I21" s="4">
        <v>0</v>
      </c>
      <c r="J21" s="4">
        <v>6</v>
      </c>
      <c r="K21" s="4">
        <v>2002</v>
      </c>
      <c r="M21" s="5" t="s">
        <v>7</v>
      </c>
      <c r="O21" s="4">
        <v>0.01</v>
      </c>
      <c r="P21" s="4">
        <v>0.01</v>
      </c>
      <c r="Q21" s="4">
        <f>(P21-P20)/P20</f>
        <v>0.92000000000000137</v>
      </c>
      <c r="R21" s="4">
        <v>20</v>
      </c>
      <c r="S21" s="3">
        <v>37409</v>
      </c>
      <c r="T21" s="2">
        <f>IF(N21&gt;0,1,0)</f>
        <v>0</v>
      </c>
    </row>
    <row r="22" spans="1:20" x14ac:dyDescent="0.2">
      <c r="A22" s="6">
        <v>21</v>
      </c>
      <c r="B22" s="3">
        <v>37417</v>
      </c>
      <c r="C22" s="4">
        <v>0.20504011948489501</v>
      </c>
      <c r="D22" s="4">
        <v>0.20705336083968501</v>
      </c>
      <c r="E22" s="4">
        <v>192</v>
      </c>
      <c r="F22" s="4">
        <v>0</v>
      </c>
      <c r="G22" s="4">
        <v>27.5854427083333</v>
      </c>
      <c r="H22" s="4">
        <v>0</v>
      </c>
      <c r="I22" s="4">
        <v>4.1666666666666699E-2</v>
      </c>
      <c r="J22" s="4">
        <v>6</v>
      </c>
      <c r="K22" s="4">
        <v>2002</v>
      </c>
      <c r="M22" s="5"/>
      <c r="O22" s="4">
        <v>0.01</v>
      </c>
      <c r="P22" s="4">
        <v>0.01</v>
      </c>
      <c r="Q22" s="4">
        <f>(P22-P21)/P21</f>
        <v>0</v>
      </c>
      <c r="R22" s="4">
        <v>21</v>
      </c>
      <c r="S22" s="3">
        <v>37417</v>
      </c>
      <c r="T22" s="2">
        <f>IF(N22&gt;0,1,0)</f>
        <v>0</v>
      </c>
    </row>
    <row r="23" spans="1:20" x14ac:dyDescent="0.2">
      <c r="A23" s="6">
        <v>22</v>
      </c>
      <c r="B23" s="3">
        <v>37425</v>
      </c>
      <c r="C23" s="4">
        <v>0.166086552595651</v>
      </c>
      <c r="D23" s="4">
        <v>0.145192017157873</v>
      </c>
      <c r="E23" s="4">
        <v>192</v>
      </c>
      <c r="F23" s="4">
        <v>8</v>
      </c>
      <c r="G23" s="4">
        <v>27.075807291666699</v>
      </c>
      <c r="H23" s="4">
        <v>4.1666666666666699E-2</v>
      </c>
      <c r="I23" s="4">
        <v>0.26109660574412502</v>
      </c>
      <c r="J23" s="4">
        <v>6</v>
      </c>
      <c r="K23" s="4">
        <v>2002</v>
      </c>
      <c r="M23" s="5"/>
      <c r="O23" s="4">
        <v>4.1666666666666699E-2</v>
      </c>
      <c r="P23" s="4">
        <v>4.1666666666666699E-2</v>
      </c>
      <c r="Q23" s="4">
        <f>(P23-P22)/P22</f>
        <v>3.1666666666666696</v>
      </c>
      <c r="R23" s="4">
        <v>22</v>
      </c>
      <c r="S23" s="3">
        <v>37425</v>
      </c>
      <c r="T23" s="2">
        <f>IF(N23&gt;0,1,0)</f>
        <v>0</v>
      </c>
    </row>
    <row r="24" spans="1:20" x14ac:dyDescent="0.2">
      <c r="A24" s="6">
        <v>23</v>
      </c>
      <c r="B24" s="3">
        <v>37433</v>
      </c>
      <c r="C24" s="4">
        <v>0.17167372776505799</v>
      </c>
      <c r="D24" s="4">
        <v>0.13360775510470099</v>
      </c>
      <c r="E24" s="4">
        <v>191.5</v>
      </c>
      <c r="F24" s="4">
        <v>50</v>
      </c>
      <c r="G24" s="4">
        <v>27.305520833333301</v>
      </c>
      <c r="H24" s="4">
        <v>0.26109660574412502</v>
      </c>
      <c r="I24" s="4">
        <v>1.6251354279523299E-2</v>
      </c>
      <c r="J24" s="4">
        <v>6</v>
      </c>
      <c r="K24" s="4">
        <v>2002</v>
      </c>
      <c r="M24" s="5"/>
      <c r="O24" s="4">
        <v>0.26109660574412502</v>
      </c>
      <c r="P24" s="4">
        <v>0.26109660574412502</v>
      </c>
      <c r="Q24" s="4">
        <f>(P24-P23)/P23</f>
        <v>5.2663185378589956</v>
      </c>
      <c r="R24" s="4">
        <v>23</v>
      </c>
      <c r="S24" s="3">
        <v>37433</v>
      </c>
      <c r="T24" s="2">
        <f>IF(N24&gt;0,1,0)</f>
        <v>0</v>
      </c>
    </row>
    <row r="25" spans="1:20" x14ac:dyDescent="0.2">
      <c r="A25" s="6">
        <v>24</v>
      </c>
      <c r="B25" s="3">
        <v>37441</v>
      </c>
      <c r="C25" s="4">
        <v>0.13236746191978499</v>
      </c>
      <c r="D25" s="4" t="s">
        <v>0</v>
      </c>
      <c r="E25" s="4">
        <v>184.6</v>
      </c>
      <c r="F25" s="4">
        <v>3</v>
      </c>
      <c r="G25" s="4">
        <v>27.479557291666701</v>
      </c>
      <c r="H25" s="4">
        <v>1.6251354279523299E-2</v>
      </c>
      <c r="I25" s="4">
        <v>0</v>
      </c>
      <c r="J25" s="4">
        <v>7</v>
      </c>
      <c r="K25" s="4">
        <v>2002</v>
      </c>
      <c r="M25" s="5" t="s">
        <v>6</v>
      </c>
      <c r="O25" s="4">
        <v>1.6251354279523299E-2</v>
      </c>
      <c r="P25" s="4">
        <v>1.6251354279523299E-2</v>
      </c>
      <c r="Q25" s="4">
        <f>(P25-P24)/P24</f>
        <v>-0.93775731310942578</v>
      </c>
      <c r="R25" s="4">
        <v>24</v>
      </c>
      <c r="S25" s="3">
        <v>37441</v>
      </c>
      <c r="T25" s="2">
        <f>IF(N25&gt;0,1,0)</f>
        <v>0</v>
      </c>
    </row>
    <row r="26" spans="1:20" x14ac:dyDescent="0.2">
      <c r="A26" s="6">
        <v>25</v>
      </c>
      <c r="B26" s="3">
        <v>37449</v>
      </c>
      <c r="C26" s="4">
        <v>0.14506157694591401</v>
      </c>
      <c r="D26" s="4">
        <v>0.13093759988745099</v>
      </c>
      <c r="E26" s="4">
        <v>175.4</v>
      </c>
      <c r="F26" s="4">
        <v>0</v>
      </c>
      <c r="G26" s="4">
        <v>27.305520833333301</v>
      </c>
      <c r="H26" s="4">
        <v>0</v>
      </c>
      <c r="I26" s="4">
        <v>0</v>
      </c>
      <c r="J26" s="4">
        <v>7</v>
      </c>
      <c r="K26" s="4">
        <v>2002</v>
      </c>
      <c r="M26" s="5"/>
      <c r="O26" s="4">
        <v>0.01</v>
      </c>
      <c r="P26" s="4">
        <v>0.01</v>
      </c>
      <c r="Q26" s="4">
        <f>(P26-P25)/P25</f>
        <v>-0.38466666666666688</v>
      </c>
      <c r="R26" s="4">
        <v>25</v>
      </c>
      <c r="S26" s="3">
        <v>37449</v>
      </c>
      <c r="T26" s="2">
        <f>IF(N26&gt;0,1,0)</f>
        <v>0</v>
      </c>
    </row>
    <row r="27" spans="1:20" x14ac:dyDescent="0.2">
      <c r="A27" s="6">
        <v>26</v>
      </c>
      <c r="B27" s="3">
        <v>37457</v>
      </c>
      <c r="C27" s="4">
        <v>0.13351241456912799</v>
      </c>
      <c r="D27" s="4">
        <v>0.12875826160112999</v>
      </c>
      <c r="E27" s="4">
        <v>190.3</v>
      </c>
      <c r="F27" s="4">
        <v>0</v>
      </c>
      <c r="G27" s="4">
        <v>27.229557291666701</v>
      </c>
      <c r="H27" s="4">
        <v>0</v>
      </c>
      <c r="I27" s="4">
        <v>0</v>
      </c>
      <c r="J27" s="4">
        <v>7</v>
      </c>
      <c r="K27" s="4">
        <v>2002</v>
      </c>
      <c r="M27" s="5"/>
      <c r="O27" s="4">
        <v>0.01</v>
      </c>
      <c r="P27" s="4">
        <v>0.01</v>
      </c>
      <c r="Q27" s="4">
        <f>(P27-P26)/P26</f>
        <v>0</v>
      </c>
      <c r="R27" s="4">
        <v>26</v>
      </c>
      <c r="S27" s="3">
        <v>37457</v>
      </c>
      <c r="T27" s="2">
        <f>IF(N27&gt;0,1,0)</f>
        <v>0</v>
      </c>
    </row>
    <row r="28" spans="1:20" x14ac:dyDescent="0.2">
      <c r="A28" s="6">
        <v>27</v>
      </c>
      <c r="B28" s="3">
        <v>37465</v>
      </c>
      <c r="C28" s="4">
        <v>0.183887490339703</v>
      </c>
      <c r="D28" s="4">
        <v>0.164613199730714</v>
      </c>
      <c r="E28" s="4">
        <v>192</v>
      </c>
      <c r="F28" s="4">
        <v>0</v>
      </c>
      <c r="G28" s="4">
        <v>27.229244791666702</v>
      </c>
      <c r="H28" s="4">
        <v>0</v>
      </c>
      <c r="I28" s="4">
        <v>0</v>
      </c>
      <c r="J28" s="4">
        <v>7</v>
      </c>
      <c r="K28" s="4">
        <v>2002</v>
      </c>
      <c r="M28" s="5"/>
      <c r="O28" s="4">
        <v>0.01</v>
      </c>
      <c r="P28" s="4">
        <v>0.01</v>
      </c>
      <c r="Q28" s="4">
        <f>(P28-P27)/P27</f>
        <v>0</v>
      </c>
      <c r="R28" s="4">
        <v>27</v>
      </c>
      <c r="S28" s="3">
        <v>37465</v>
      </c>
      <c r="T28" s="2">
        <f>IF(N28&gt;0,1,0)</f>
        <v>0</v>
      </c>
    </row>
    <row r="29" spans="1:20" x14ac:dyDescent="0.2">
      <c r="A29" s="6">
        <v>28</v>
      </c>
      <c r="B29" s="3">
        <v>37473</v>
      </c>
      <c r="C29" s="4">
        <v>0.159333092677924</v>
      </c>
      <c r="D29" s="4">
        <v>0.140014154215654</v>
      </c>
      <c r="E29" s="4">
        <v>183.6</v>
      </c>
      <c r="F29" s="4">
        <v>0</v>
      </c>
      <c r="G29" s="4">
        <v>27.2015104166667</v>
      </c>
      <c r="H29" s="4">
        <v>0</v>
      </c>
      <c r="I29" s="4">
        <v>0</v>
      </c>
      <c r="J29" s="4">
        <v>8</v>
      </c>
      <c r="K29" s="4">
        <v>2002</v>
      </c>
      <c r="M29" s="5" t="s">
        <v>5</v>
      </c>
      <c r="O29" s="4">
        <v>0.01</v>
      </c>
      <c r="P29" s="4">
        <v>0.01</v>
      </c>
      <c r="Q29" s="4">
        <f>(P29-P28)/P28</f>
        <v>0</v>
      </c>
      <c r="R29" s="4">
        <v>28</v>
      </c>
      <c r="S29" s="3">
        <v>37473</v>
      </c>
      <c r="T29" s="2">
        <f>IF(N29&gt;0,1,0)</f>
        <v>0</v>
      </c>
    </row>
    <row r="30" spans="1:20" x14ac:dyDescent="0.2">
      <c r="A30" s="6">
        <v>29</v>
      </c>
      <c r="B30" s="3">
        <v>37481</v>
      </c>
      <c r="C30" s="4">
        <v>0.136733212641307</v>
      </c>
      <c r="D30" s="4" t="s">
        <v>0</v>
      </c>
      <c r="E30" s="4">
        <v>191.9</v>
      </c>
      <c r="F30" s="4">
        <v>0</v>
      </c>
      <c r="G30" s="4">
        <v>27.160598958333299</v>
      </c>
      <c r="H30" s="4">
        <v>0</v>
      </c>
      <c r="I30" s="4">
        <v>0</v>
      </c>
      <c r="J30" s="4">
        <v>8</v>
      </c>
      <c r="K30" s="4">
        <v>2002</v>
      </c>
      <c r="M30" s="5"/>
      <c r="O30" s="4">
        <v>0.01</v>
      </c>
      <c r="P30" s="4">
        <v>0.01</v>
      </c>
      <c r="Q30" s="4">
        <f>(P30-P29)/P29</f>
        <v>0</v>
      </c>
      <c r="R30" s="4">
        <v>29</v>
      </c>
      <c r="S30" s="3">
        <v>37481</v>
      </c>
      <c r="T30" s="2">
        <f>IF(N30&gt;0,1,0)</f>
        <v>0</v>
      </c>
    </row>
    <row r="31" spans="1:20" x14ac:dyDescent="0.2">
      <c r="A31" s="6">
        <v>30</v>
      </c>
      <c r="B31" s="3">
        <v>37489</v>
      </c>
      <c r="C31" s="4">
        <v>0.20752622497578499</v>
      </c>
      <c r="D31" s="4" t="s">
        <v>0</v>
      </c>
      <c r="E31" s="4">
        <v>179</v>
      </c>
      <c r="F31" s="4">
        <v>0</v>
      </c>
      <c r="G31" s="4">
        <v>27.0849739583334</v>
      </c>
      <c r="H31" s="4">
        <v>0</v>
      </c>
      <c r="I31" s="4">
        <v>0.125</v>
      </c>
      <c r="J31" s="4">
        <v>8</v>
      </c>
      <c r="K31" s="4">
        <v>2002</v>
      </c>
      <c r="M31" s="5"/>
      <c r="O31" s="4">
        <v>0.01</v>
      </c>
      <c r="P31" s="4">
        <v>0.01</v>
      </c>
      <c r="Q31" s="4">
        <f>(P31-P30)/P30</f>
        <v>0</v>
      </c>
      <c r="R31" s="4">
        <v>30</v>
      </c>
      <c r="S31" s="3">
        <v>37489</v>
      </c>
      <c r="T31" s="2">
        <f>IF(N31&gt;0,1,0)</f>
        <v>0</v>
      </c>
    </row>
    <row r="32" spans="1:20" x14ac:dyDescent="0.2">
      <c r="A32" s="6">
        <v>31</v>
      </c>
      <c r="B32" s="3">
        <v>37497</v>
      </c>
      <c r="C32" s="4">
        <v>0.22479444226824299</v>
      </c>
      <c r="D32" s="4">
        <v>0.148633638396859</v>
      </c>
      <c r="E32" s="4">
        <v>192</v>
      </c>
      <c r="F32" s="4">
        <v>24</v>
      </c>
      <c r="G32" s="4">
        <v>27.258645833333301</v>
      </c>
      <c r="H32" s="4">
        <v>0.125</v>
      </c>
      <c r="I32" s="4">
        <v>0.49479166666666702</v>
      </c>
      <c r="J32" s="4">
        <v>8</v>
      </c>
      <c r="K32" s="4">
        <v>2002</v>
      </c>
      <c r="M32" s="5"/>
      <c r="O32" s="4">
        <v>0.125</v>
      </c>
      <c r="P32" s="4">
        <v>0.125</v>
      </c>
      <c r="Q32" s="4">
        <f>(P32-P31)/P31</f>
        <v>11.5</v>
      </c>
      <c r="R32" s="4">
        <v>31</v>
      </c>
      <c r="S32" s="3">
        <v>37497</v>
      </c>
      <c r="T32" s="2">
        <f>IF(N32&gt;0,1,0)</f>
        <v>0</v>
      </c>
    </row>
    <row r="33" spans="1:20" x14ac:dyDescent="0.2">
      <c r="A33" s="6">
        <v>32</v>
      </c>
      <c r="B33" s="3">
        <v>37505</v>
      </c>
      <c r="C33" s="4">
        <v>0.21523773494279999</v>
      </c>
      <c r="D33" s="4">
        <v>0.223023906350136</v>
      </c>
      <c r="E33" s="4">
        <v>192</v>
      </c>
      <c r="F33" s="4">
        <v>95</v>
      </c>
      <c r="G33" s="4">
        <v>27.7701822916667</v>
      </c>
      <c r="H33" s="4">
        <v>0.49479166666666702</v>
      </c>
      <c r="I33" s="4">
        <v>0.24479166666666699</v>
      </c>
      <c r="J33" s="4">
        <v>9</v>
      </c>
      <c r="K33" s="4">
        <v>2002</v>
      </c>
      <c r="M33" s="5" t="s">
        <v>4</v>
      </c>
      <c r="O33" s="4">
        <v>0.49479166666666702</v>
      </c>
      <c r="P33" s="4">
        <v>0.49479166666666702</v>
      </c>
      <c r="Q33" s="4">
        <f>(P33-P32)/P32</f>
        <v>2.9583333333333361</v>
      </c>
      <c r="R33" s="4">
        <v>32</v>
      </c>
      <c r="S33" s="3">
        <v>37505</v>
      </c>
      <c r="T33" s="2">
        <f>IF(N33&gt;0,1,0)</f>
        <v>0</v>
      </c>
    </row>
    <row r="34" spans="1:20" x14ac:dyDescent="0.2">
      <c r="A34" s="6">
        <v>33</v>
      </c>
      <c r="B34" s="3">
        <v>37513</v>
      </c>
      <c r="C34" s="4">
        <v>0.141235149823702</v>
      </c>
      <c r="D34" s="4">
        <v>0.14737519621849099</v>
      </c>
      <c r="E34" s="4">
        <v>192</v>
      </c>
      <c r="F34" s="4">
        <v>47</v>
      </c>
      <c r="G34" s="4">
        <v>27.941796875000001</v>
      </c>
      <c r="H34" s="4">
        <v>0.24479166666666699</v>
      </c>
      <c r="I34" s="4">
        <v>9.9367660343270103E-2</v>
      </c>
      <c r="J34" s="4">
        <v>9</v>
      </c>
      <c r="K34" s="4">
        <v>2002</v>
      </c>
      <c r="M34" s="5"/>
      <c r="O34" s="4">
        <v>0.24479166666666699</v>
      </c>
      <c r="P34" s="4">
        <v>0.24479166666666699</v>
      </c>
      <c r="Q34" s="4">
        <f>(P34-P33)/P33</f>
        <v>-0.50526315789473653</v>
      </c>
      <c r="R34" s="4">
        <v>33</v>
      </c>
      <c r="S34" s="3">
        <v>37513</v>
      </c>
      <c r="T34" s="2">
        <f>IF(N34&gt;0,1,0)</f>
        <v>0</v>
      </c>
    </row>
    <row r="35" spans="1:20" x14ac:dyDescent="0.2">
      <c r="A35" s="6">
        <v>34</v>
      </c>
      <c r="B35" s="3">
        <v>37521</v>
      </c>
      <c r="C35" s="4">
        <v>0.16418360057006401</v>
      </c>
      <c r="D35" s="4" t="s">
        <v>0</v>
      </c>
      <c r="E35" s="4">
        <v>110.7</v>
      </c>
      <c r="F35" s="4">
        <v>11</v>
      </c>
      <c r="G35" s="4">
        <v>28.150182291666599</v>
      </c>
      <c r="H35" s="4">
        <v>9.9367660343270103E-2</v>
      </c>
      <c r="I35" s="4">
        <v>0.44270833333333298</v>
      </c>
      <c r="J35" s="4">
        <v>9</v>
      </c>
      <c r="K35" s="4">
        <v>2002</v>
      </c>
      <c r="M35" s="5"/>
      <c r="O35" s="4">
        <v>9.9367660343270103E-2</v>
      </c>
      <c r="P35" s="4">
        <v>9.9367660343270103E-2</v>
      </c>
      <c r="Q35" s="4">
        <f>(P35-P34)/P34</f>
        <v>-0.5940725364700461</v>
      </c>
      <c r="R35" s="4">
        <v>34</v>
      </c>
      <c r="S35" s="3">
        <v>37521</v>
      </c>
      <c r="T35" s="2">
        <f>IF(N35&gt;0,1,0)</f>
        <v>0</v>
      </c>
    </row>
    <row r="36" spans="1:20" x14ac:dyDescent="0.2">
      <c r="A36" s="6">
        <v>35</v>
      </c>
      <c r="B36" s="3">
        <v>37529</v>
      </c>
      <c r="C36" s="4">
        <v>0.12831307588132099</v>
      </c>
      <c r="D36" s="4">
        <v>0.12183485552668601</v>
      </c>
      <c r="E36" s="4">
        <v>192</v>
      </c>
      <c r="F36" s="4">
        <v>85</v>
      </c>
      <c r="G36" s="4">
        <v>28.173880208333401</v>
      </c>
      <c r="H36" s="4">
        <v>0.44270833333333298</v>
      </c>
      <c r="I36" s="4">
        <v>3.6458333333333301E-2</v>
      </c>
      <c r="J36" s="4">
        <v>9</v>
      </c>
      <c r="K36" s="4">
        <v>2002</v>
      </c>
      <c r="M36" s="5"/>
      <c r="O36" s="4">
        <v>0.44270833333333298</v>
      </c>
      <c r="P36" s="4">
        <v>0.44270833333333298</v>
      </c>
      <c r="Q36" s="4">
        <f>(P36-P35)/P35</f>
        <v>3.4552556818181781</v>
      </c>
      <c r="R36" s="4">
        <v>35</v>
      </c>
      <c r="S36" s="3">
        <v>37529</v>
      </c>
      <c r="T36" s="2">
        <f>IF(N36&gt;0,1,0)</f>
        <v>0</v>
      </c>
    </row>
    <row r="37" spans="1:20" x14ac:dyDescent="0.2">
      <c r="A37" s="6">
        <v>36</v>
      </c>
      <c r="B37" s="3">
        <v>37537</v>
      </c>
      <c r="C37" s="4">
        <v>0.12295552883791699</v>
      </c>
      <c r="D37" s="4">
        <v>0.109689388424158</v>
      </c>
      <c r="E37" s="4">
        <v>192</v>
      </c>
      <c r="F37" s="4">
        <v>7</v>
      </c>
      <c r="G37" s="4">
        <v>28.448385416666699</v>
      </c>
      <c r="H37" s="4">
        <v>3.6458333333333301E-2</v>
      </c>
      <c r="I37" s="4">
        <v>0.30729166666666702</v>
      </c>
      <c r="J37" s="4">
        <v>10</v>
      </c>
      <c r="K37" s="4">
        <v>2002</v>
      </c>
      <c r="M37" s="5" t="s">
        <v>3</v>
      </c>
      <c r="O37" s="4">
        <v>3.6458333333333301E-2</v>
      </c>
      <c r="P37" s="4">
        <v>3.6458333333333301E-2</v>
      </c>
      <c r="Q37" s="4">
        <f>(P37-P36)/P36</f>
        <v>-0.91764705882352937</v>
      </c>
      <c r="R37" s="4">
        <v>36</v>
      </c>
      <c r="S37" s="3">
        <v>37537</v>
      </c>
      <c r="T37" s="2">
        <f>IF(N37&gt;0,1,0)</f>
        <v>0</v>
      </c>
    </row>
    <row r="38" spans="1:20" x14ac:dyDescent="0.2">
      <c r="A38" s="6">
        <v>37</v>
      </c>
      <c r="B38" s="3">
        <v>37545</v>
      </c>
      <c r="C38" s="4">
        <v>0.13245431380346401</v>
      </c>
      <c r="D38" s="4">
        <v>0.11847961321473099</v>
      </c>
      <c r="E38" s="4">
        <v>192</v>
      </c>
      <c r="F38" s="4">
        <v>59</v>
      </c>
      <c r="G38" s="4">
        <v>28.427578125</v>
      </c>
      <c r="H38" s="4">
        <v>0.30729166666666702</v>
      </c>
      <c r="I38" s="4">
        <v>0.14583333333333301</v>
      </c>
      <c r="J38" s="4">
        <v>10</v>
      </c>
      <c r="K38" s="4">
        <v>2002</v>
      </c>
      <c r="M38" s="5"/>
      <c r="O38" s="4">
        <v>0.30729166666666702</v>
      </c>
      <c r="P38" s="4">
        <v>0.30729166666666702</v>
      </c>
      <c r="Q38" s="4">
        <f>(P38-P37)/P37</f>
        <v>7.4285714285714457</v>
      </c>
      <c r="R38" s="4">
        <v>37</v>
      </c>
      <c r="S38" s="3">
        <v>37545</v>
      </c>
      <c r="T38" s="2">
        <f>IF(N38&gt;0,1,0)</f>
        <v>0</v>
      </c>
    </row>
    <row r="39" spans="1:20" x14ac:dyDescent="0.2">
      <c r="A39" s="6">
        <v>38</v>
      </c>
      <c r="B39" s="3">
        <v>37553</v>
      </c>
      <c r="C39" s="4">
        <v>0.13933002769498901</v>
      </c>
      <c r="D39" s="4">
        <v>0.147104483097792</v>
      </c>
      <c r="E39" s="4">
        <v>192</v>
      </c>
      <c r="F39" s="4">
        <v>28</v>
      </c>
      <c r="G39" s="4">
        <v>28.6150520833333</v>
      </c>
      <c r="H39" s="4">
        <v>0.14583333333333301</v>
      </c>
      <c r="I39" s="4">
        <v>0.215223097112861</v>
      </c>
      <c r="J39" s="4">
        <v>10</v>
      </c>
      <c r="K39" s="4">
        <v>2002</v>
      </c>
      <c r="M39" s="5"/>
      <c r="O39" s="4">
        <v>0.14583333333333301</v>
      </c>
      <c r="P39" s="4">
        <v>0.14583333333333301</v>
      </c>
      <c r="Q39" s="4">
        <f>(P39-P38)/P38</f>
        <v>-0.52542372881356092</v>
      </c>
      <c r="R39" s="4">
        <v>38</v>
      </c>
      <c r="S39" s="3">
        <v>37553</v>
      </c>
      <c r="T39" s="2">
        <f>IF(N39&gt;0,1,0)</f>
        <v>0</v>
      </c>
    </row>
    <row r="40" spans="1:20" x14ac:dyDescent="0.2">
      <c r="A40" s="6">
        <v>39</v>
      </c>
      <c r="B40" s="3">
        <v>37561</v>
      </c>
      <c r="C40" s="4">
        <v>0.10861444638203099</v>
      </c>
      <c r="D40" s="4">
        <v>9.6997013936440196E-2</v>
      </c>
      <c r="E40" s="4">
        <v>190.5</v>
      </c>
      <c r="F40" s="4">
        <v>41</v>
      </c>
      <c r="G40" s="4">
        <v>28.4277604166667</v>
      </c>
      <c r="H40" s="4">
        <v>0.215223097112861</v>
      </c>
      <c r="I40" s="4">
        <v>5.7411273486430103E-2</v>
      </c>
      <c r="J40" s="4">
        <v>11</v>
      </c>
      <c r="K40" s="4">
        <v>2002</v>
      </c>
      <c r="M40" s="5" t="s">
        <v>2</v>
      </c>
      <c r="O40" s="4">
        <v>0.215223097112861</v>
      </c>
      <c r="P40" s="4">
        <v>0.215223097112861</v>
      </c>
      <c r="Q40" s="4">
        <f>(P40-P39)/P39</f>
        <v>0.47581552305962155</v>
      </c>
      <c r="R40" s="4">
        <v>39</v>
      </c>
      <c r="S40" s="3">
        <v>37561</v>
      </c>
      <c r="T40" s="2">
        <f>IF(N40&gt;0,1,0)</f>
        <v>0</v>
      </c>
    </row>
    <row r="41" spans="1:20" x14ac:dyDescent="0.2">
      <c r="A41" s="6">
        <v>40</v>
      </c>
      <c r="B41" s="3">
        <v>37569</v>
      </c>
      <c r="C41" s="4">
        <v>0.15900183683462299</v>
      </c>
      <c r="D41" s="4">
        <v>0.15403994669516899</v>
      </c>
      <c r="E41" s="4">
        <v>191.6</v>
      </c>
      <c r="F41" s="4">
        <v>11</v>
      </c>
      <c r="G41" s="4">
        <v>28.565520833333299</v>
      </c>
      <c r="H41" s="4">
        <v>5.7411273486430103E-2</v>
      </c>
      <c r="I41" s="4">
        <v>0.640625</v>
      </c>
      <c r="J41" s="4">
        <v>11</v>
      </c>
      <c r="K41" s="4">
        <v>2002</v>
      </c>
      <c r="M41" s="5"/>
      <c r="O41" s="4">
        <v>5.7411273486430103E-2</v>
      </c>
      <c r="P41" s="4">
        <v>5.7411273486430103E-2</v>
      </c>
      <c r="Q41" s="4">
        <f>(P41-P40)/P40</f>
        <v>-0.73324761953256268</v>
      </c>
      <c r="R41" s="4">
        <v>40</v>
      </c>
      <c r="S41" s="3">
        <v>37569</v>
      </c>
      <c r="T41" s="2">
        <f>IF(N41&gt;0,1,0)</f>
        <v>0</v>
      </c>
    </row>
    <row r="42" spans="1:20" x14ac:dyDescent="0.2">
      <c r="A42" s="6">
        <v>41</v>
      </c>
      <c r="B42" s="10">
        <v>37577</v>
      </c>
      <c r="C42" s="4">
        <v>0.19353251400547999</v>
      </c>
      <c r="D42" s="4">
        <v>0.21896189699570301</v>
      </c>
      <c r="E42" s="4">
        <v>192</v>
      </c>
      <c r="F42" s="4">
        <v>123</v>
      </c>
      <c r="G42" s="4">
        <v>28.596432291666702</v>
      </c>
      <c r="H42" s="4">
        <v>0.640625</v>
      </c>
      <c r="I42" s="4">
        <v>0.234791889007471</v>
      </c>
      <c r="J42" s="4">
        <v>11</v>
      </c>
      <c r="K42" s="4">
        <v>2002</v>
      </c>
      <c r="M42" s="5"/>
      <c r="O42" s="4">
        <v>0.640625</v>
      </c>
      <c r="P42" s="4">
        <v>0.640625</v>
      </c>
      <c r="Q42" s="4">
        <f>(P42-P41)/P41</f>
        <v>10.15852272727272</v>
      </c>
      <c r="R42" s="4">
        <v>41</v>
      </c>
      <c r="S42" s="3">
        <v>37577</v>
      </c>
      <c r="T42" s="2">
        <f>IF(N42&gt;0,1,0)</f>
        <v>0</v>
      </c>
    </row>
    <row r="43" spans="1:20" x14ac:dyDescent="0.2">
      <c r="A43" s="6">
        <v>42</v>
      </c>
      <c r="B43" s="3">
        <v>37585</v>
      </c>
      <c r="C43" s="4">
        <v>0.139971566386521</v>
      </c>
      <c r="D43" s="4">
        <v>0.14202818771203399</v>
      </c>
      <c r="E43" s="4">
        <v>187.4</v>
      </c>
      <c r="F43" s="4">
        <v>44</v>
      </c>
      <c r="G43" s="4">
        <v>28.8676822916667</v>
      </c>
      <c r="H43" s="4">
        <v>0.234791889007471</v>
      </c>
      <c r="I43" s="4">
        <v>0.29718456725755998</v>
      </c>
      <c r="J43" s="4">
        <v>11</v>
      </c>
      <c r="K43" s="4">
        <v>2002</v>
      </c>
      <c r="M43" s="5"/>
      <c r="O43" s="4">
        <v>0.234791889007471</v>
      </c>
      <c r="P43" s="4">
        <v>0.234791889007471</v>
      </c>
      <c r="Q43" s="4">
        <f>(P43-P42)/P42</f>
        <v>-0.63349558789077698</v>
      </c>
      <c r="R43" s="4">
        <v>42</v>
      </c>
      <c r="S43" s="3">
        <v>37585</v>
      </c>
      <c r="T43" s="2">
        <f>IF(N43&gt;0,1,0)</f>
        <v>0</v>
      </c>
    </row>
    <row r="44" spans="1:20" x14ac:dyDescent="0.2">
      <c r="A44" s="6">
        <v>43</v>
      </c>
      <c r="B44" s="3">
        <v>37593</v>
      </c>
      <c r="C44" s="4">
        <v>0.14213316935029899</v>
      </c>
      <c r="D44" s="4">
        <v>0.144246554623048</v>
      </c>
      <c r="E44" s="4">
        <v>191.8</v>
      </c>
      <c r="F44" s="4">
        <v>57</v>
      </c>
      <c r="G44" s="4">
        <v>29.111197916666701</v>
      </c>
      <c r="H44" s="4">
        <v>0.29718456725755998</v>
      </c>
      <c r="I44" s="4">
        <v>0.50520833333333304</v>
      </c>
      <c r="J44" s="4">
        <v>12</v>
      </c>
      <c r="K44" s="4">
        <v>2002</v>
      </c>
      <c r="M44" s="5" t="s">
        <v>1</v>
      </c>
      <c r="O44" s="4">
        <v>0.29718456725755998</v>
      </c>
      <c r="P44" s="4">
        <v>0.29718456725755998</v>
      </c>
      <c r="Q44" s="4">
        <f>(P44-P43)/P43</f>
        <v>0.26573608872878768</v>
      </c>
      <c r="R44" s="4">
        <v>43</v>
      </c>
      <c r="S44" s="3">
        <v>37593</v>
      </c>
      <c r="T44" s="2">
        <f>IF(N44&gt;0,1,0)</f>
        <v>0</v>
      </c>
    </row>
    <row r="45" spans="1:20" x14ac:dyDescent="0.2">
      <c r="A45" s="6">
        <v>44</v>
      </c>
      <c r="B45" s="3">
        <v>37601</v>
      </c>
      <c r="C45" s="4">
        <v>0.123004344861127</v>
      </c>
      <c r="D45" s="4">
        <v>0.102927607794603</v>
      </c>
      <c r="E45" s="4">
        <v>192</v>
      </c>
      <c r="F45" s="4">
        <v>97</v>
      </c>
      <c r="G45" s="4">
        <v>29.272031250000001</v>
      </c>
      <c r="H45" s="4">
        <v>0.50520833333333304</v>
      </c>
      <c r="I45" s="4">
        <v>1</v>
      </c>
      <c r="J45" s="4">
        <v>12</v>
      </c>
      <c r="K45" s="4">
        <v>2002</v>
      </c>
      <c r="M45" s="5"/>
      <c r="N45" s="4">
        <v>0.50520833333333304</v>
      </c>
      <c r="P45" s="4">
        <v>0.50520833333333304</v>
      </c>
      <c r="Q45" s="17">
        <f>(P45-P44)/P44</f>
        <v>0.69998172514619772</v>
      </c>
      <c r="R45" s="4">
        <v>44</v>
      </c>
      <c r="S45" s="16">
        <v>37601</v>
      </c>
      <c r="T45" s="2">
        <f>IF(N45&gt;0,1,0)</f>
        <v>1</v>
      </c>
    </row>
    <row r="46" spans="1:20" x14ac:dyDescent="0.2">
      <c r="A46" s="6">
        <v>45</v>
      </c>
      <c r="B46" s="3">
        <v>37609</v>
      </c>
      <c r="C46" s="4">
        <v>9.15694190632729E-2</v>
      </c>
      <c r="D46" s="4">
        <v>7.6705162723859105E-2</v>
      </c>
      <c r="E46" s="4">
        <v>192</v>
      </c>
      <c r="F46" s="4">
        <v>192</v>
      </c>
      <c r="G46" s="4">
        <v>29.00359375</v>
      </c>
      <c r="H46" s="4">
        <v>1</v>
      </c>
      <c r="I46" s="4">
        <v>0.96666666666666701</v>
      </c>
      <c r="J46" s="4">
        <v>12</v>
      </c>
      <c r="K46" s="4">
        <v>2002</v>
      </c>
      <c r="M46" s="5"/>
      <c r="N46" s="4">
        <v>1</v>
      </c>
      <c r="P46" s="4">
        <v>1</v>
      </c>
      <c r="Q46" s="4">
        <f>(P46-P45)/P45</f>
        <v>0.97938144329897026</v>
      </c>
      <c r="R46" s="4">
        <v>45</v>
      </c>
      <c r="S46" s="3">
        <v>37609</v>
      </c>
      <c r="T46" s="2">
        <f>IF(N46&gt;0,1,0)</f>
        <v>1</v>
      </c>
    </row>
    <row r="47" spans="1:20" x14ac:dyDescent="0.2">
      <c r="A47" s="6">
        <v>46</v>
      </c>
      <c r="B47" s="3">
        <v>37617</v>
      </c>
      <c r="C47" s="4">
        <v>0.11393794354858899</v>
      </c>
      <c r="D47" s="4">
        <v>8.9148168762524904E-2</v>
      </c>
      <c r="E47" s="4">
        <v>120</v>
      </c>
      <c r="F47" s="4">
        <v>116</v>
      </c>
      <c r="G47" s="4">
        <v>28.732500000000002</v>
      </c>
      <c r="H47" s="4">
        <v>0.96666666666666701</v>
      </c>
      <c r="I47" s="4">
        <v>0.69474248927038595</v>
      </c>
      <c r="J47" s="4">
        <v>12</v>
      </c>
      <c r="K47" s="4">
        <v>2002</v>
      </c>
      <c r="M47" s="5"/>
      <c r="N47" s="4">
        <v>0.96666666666666701</v>
      </c>
      <c r="P47" s="4">
        <v>0.96666666666666701</v>
      </c>
      <c r="Q47" s="4">
        <f>(P47-P46)/P46</f>
        <v>-3.3333333333332993E-2</v>
      </c>
      <c r="R47" s="4">
        <v>46</v>
      </c>
      <c r="S47" s="3">
        <v>37617</v>
      </c>
      <c r="T47" s="2">
        <f>IF(N47&gt;0,1,0)</f>
        <v>1</v>
      </c>
    </row>
    <row r="48" spans="1:20" x14ac:dyDescent="0.2">
      <c r="A48" s="6">
        <v>47</v>
      </c>
      <c r="B48" s="3">
        <v>37622</v>
      </c>
      <c r="C48" s="4">
        <v>0.15007891934365</v>
      </c>
      <c r="D48" s="4">
        <v>0.107995577156544</v>
      </c>
      <c r="E48" s="4">
        <v>186.4</v>
      </c>
      <c r="F48" s="4">
        <v>129.5</v>
      </c>
      <c r="G48" s="4">
        <v>28.6777604166667</v>
      </c>
      <c r="H48" s="4">
        <v>0.69474248927038595</v>
      </c>
      <c r="I48" s="4">
        <v>0.80611169652265502</v>
      </c>
      <c r="J48" s="4">
        <v>1</v>
      </c>
      <c r="K48" s="4">
        <v>2003</v>
      </c>
      <c r="L48">
        <v>2003</v>
      </c>
      <c r="M48" s="5" t="s">
        <v>12</v>
      </c>
      <c r="N48" s="4">
        <v>0.69474248927038595</v>
      </c>
      <c r="P48" s="4">
        <v>0.69474248927038595</v>
      </c>
      <c r="Q48" s="4">
        <f>(P48-P47)/P47</f>
        <v>-0.2813008731685665</v>
      </c>
      <c r="R48" s="4">
        <v>1</v>
      </c>
      <c r="S48" s="3">
        <v>37622</v>
      </c>
      <c r="T48" s="2">
        <f>IF(N48&gt;0,1,0)</f>
        <v>1</v>
      </c>
    </row>
    <row r="49" spans="1:20" x14ac:dyDescent="0.2">
      <c r="A49" s="6">
        <v>48</v>
      </c>
      <c r="B49" s="3">
        <v>37630</v>
      </c>
      <c r="C49" s="4">
        <v>0.120210277330544</v>
      </c>
      <c r="D49" s="4">
        <v>9.7294448564450006E-2</v>
      </c>
      <c r="E49" s="4">
        <v>189.8</v>
      </c>
      <c r="F49" s="4">
        <v>153</v>
      </c>
      <c r="G49" s="4">
        <v>28.618854166666701</v>
      </c>
      <c r="H49" s="4">
        <v>0.80611169652265502</v>
      </c>
      <c r="I49" s="4">
        <v>0.90814196242171197</v>
      </c>
      <c r="J49" s="4">
        <v>1</v>
      </c>
      <c r="K49" s="4">
        <v>2003</v>
      </c>
      <c r="M49" s="5"/>
      <c r="N49" s="4">
        <v>0.80611169652265502</v>
      </c>
      <c r="P49" s="4">
        <v>0.80611169652265502</v>
      </c>
      <c r="Q49" s="4">
        <f>(P49-P48)/P48</f>
        <v>0.16030285893299584</v>
      </c>
      <c r="R49" s="4">
        <v>2</v>
      </c>
      <c r="S49" s="3">
        <v>37630</v>
      </c>
      <c r="T49" s="2">
        <f>IF(N49&gt;0,1,0)</f>
        <v>1</v>
      </c>
    </row>
    <row r="50" spans="1:20" x14ac:dyDescent="0.2">
      <c r="A50" s="6">
        <v>49</v>
      </c>
      <c r="B50" s="3">
        <v>37638</v>
      </c>
      <c r="C50" s="4">
        <v>0.13596665616043699</v>
      </c>
      <c r="D50" s="4">
        <v>0.121986627578735</v>
      </c>
      <c r="E50" s="4">
        <v>191.6</v>
      </c>
      <c r="F50" s="4">
        <v>174</v>
      </c>
      <c r="G50" s="4">
        <v>28.4106510416667</v>
      </c>
      <c r="H50" s="4">
        <v>0.90814196242171197</v>
      </c>
      <c r="I50" s="4">
        <v>0.53645833333333304</v>
      </c>
      <c r="J50" s="4">
        <v>1</v>
      </c>
      <c r="K50" s="4">
        <v>2003</v>
      </c>
      <c r="M50" s="5"/>
      <c r="N50" s="4">
        <v>0.90814196242171197</v>
      </c>
      <c r="P50" s="4">
        <v>0.90814196242171197</v>
      </c>
      <c r="Q50" s="4">
        <f>(P50-P49)/P49</f>
        <v>0.12657087887347071</v>
      </c>
      <c r="R50" s="4">
        <v>3</v>
      </c>
      <c r="S50" s="3">
        <v>37638</v>
      </c>
      <c r="T50" s="2">
        <f>IF(N50&gt;0,1,0)</f>
        <v>1</v>
      </c>
    </row>
    <row r="51" spans="1:20" x14ac:dyDescent="0.2">
      <c r="A51" s="6">
        <v>50</v>
      </c>
      <c r="B51" s="10">
        <v>37646</v>
      </c>
      <c r="C51" s="4">
        <v>0.128312312066555</v>
      </c>
      <c r="D51" s="4">
        <v>9.5249693840742097E-2</v>
      </c>
      <c r="E51" s="4">
        <v>192</v>
      </c>
      <c r="F51" s="4">
        <v>103</v>
      </c>
      <c r="G51" s="4">
        <v>28.605911458333299</v>
      </c>
      <c r="H51" s="4">
        <v>0.53645833333333304</v>
      </c>
      <c r="I51" s="4">
        <v>6.6261733848702403E-2</v>
      </c>
      <c r="J51" s="4">
        <v>1</v>
      </c>
      <c r="K51" s="4">
        <v>2003</v>
      </c>
      <c r="M51" s="5"/>
      <c r="N51" s="4">
        <v>0.53645833333333304</v>
      </c>
      <c r="P51" s="4">
        <v>0.53645833333333304</v>
      </c>
      <c r="Q51" s="4">
        <f>(P51-P50)/P50</f>
        <v>-0.40927921455938732</v>
      </c>
      <c r="R51" s="15">
        <v>4</v>
      </c>
      <c r="S51" s="10">
        <v>37646</v>
      </c>
      <c r="T51" s="2">
        <f>IF(N51&gt;0,1,0)</f>
        <v>1</v>
      </c>
    </row>
    <row r="52" spans="1:20" x14ac:dyDescent="0.2">
      <c r="A52" s="6">
        <v>51</v>
      </c>
      <c r="B52" s="3">
        <v>37654</v>
      </c>
      <c r="C52" s="4">
        <v>0.12028151737607</v>
      </c>
      <c r="D52" s="4">
        <v>0.11576796323061</v>
      </c>
      <c r="E52" s="4">
        <v>181.1</v>
      </c>
      <c r="F52" s="4">
        <v>12</v>
      </c>
      <c r="G52" s="4">
        <v>28.753072916666699</v>
      </c>
      <c r="H52" s="4">
        <v>6.6261733848702403E-2</v>
      </c>
      <c r="I52" s="4">
        <v>6.25E-2</v>
      </c>
      <c r="J52" s="4">
        <v>2</v>
      </c>
      <c r="K52" s="4">
        <v>2003</v>
      </c>
      <c r="M52" s="5" t="s">
        <v>11</v>
      </c>
      <c r="O52" s="4">
        <v>6.6261733848702403E-2</v>
      </c>
      <c r="P52" s="4">
        <v>6.6261733848702403E-2</v>
      </c>
      <c r="Q52" s="14">
        <f>(P52-P51)/P51</f>
        <v>-0.87648298156358384</v>
      </c>
      <c r="R52" s="4">
        <v>5</v>
      </c>
      <c r="S52" s="3">
        <v>37654</v>
      </c>
      <c r="T52" s="2">
        <f>IF(N52&gt;0,1,0)</f>
        <v>0</v>
      </c>
    </row>
    <row r="53" spans="1:20" x14ac:dyDescent="0.2">
      <c r="A53" s="6">
        <v>52</v>
      </c>
      <c r="B53" s="3">
        <v>37662</v>
      </c>
      <c r="C53" s="4">
        <v>0.10042407280868999</v>
      </c>
      <c r="D53" s="4">
        <v>8.8254875193039595E-2</v>
      </c>
      <c r="E53" s="4">
        <v>192</v>
      </c>
      <c r="F53" s="4">
        <v>12</v>
      </c>
      <c r="G53" s="4">
        <v>29.433541666666699</v>
      </c>
      <c r="H53" s="4">
        <v>6.25E-2</v>
      </c>
      <c r="I53" s="4">
        <v>0</v>
      </c>
      <c r="J53" s="4">
        <v>2</v>
      </c>
      <c r="K53" s="4">
        <v>2003</v>
      </c>
      <c r="M53" s="5"/>
      <c r="O53" s="4">
        <v>6.25E-2</v>
      </c>
      <c r="P53" s="4">
        <v>6.25E-2</v>
      </c>
      <c r="Q53" s="4">
        <f>(P53-P52)/P52</f>
        <v>-5.6770833333333742E-2</v>
      </c>
      <c r="R53" s="4">
        <v>6</v>
      </c>
      <c r="S53" s="3">
        <v>37662</v>
      </c>
      <c r="T53" s="2">
        <f>IF(N53&gt;0,1,0)</f>
        <v>0</v>
      </c>
    </row>
    <row r="54" spans="1:20" x14ac:dyDescent="0.2">
      <c r="A54" s="6">
        <v>53</v>
      </c>
      <c r="B54" s="3">
        <v>37670</v>
      </c>
      <c r="C54" s="4">
        <v>0.108207587412623</v>
      </c>
      <c r="D54" s="4">
        <v>9.5188799003759997E-2</v>
      </c>
      <c r="E54" s="4">
        <v>178.5</v>
      </c>
      <c r="F54" s="4">
        <v>0</v>
      </c>
      <c r="G54" s="4">
        <v>29.290416666666701</v>
      </c>
      <c r="H54" s="4">
        <v>0</v>
      </c>
      <c r="I54" s="4">
        <v>4.1666666666666699E-2</v>
      </c>
      <c r="J54" s="4">
        <v>2</v>
      </c>
      <c r="K54" s="4">
        <v>2003</v>
      </c>
      <c r="M54" s="5"/>
      <c r="O54" s="4">
        <v>0.01</v>
      </c>
      <c r="P54" s="4">
        <v>0.01</v>
      </c>
      <c r="Q54" s="4">
        <f>(P54-P53)/P53</f>
        <v>-0.84</v>
      </c>
      <c r="R54" s="4">
        <v>7</v>
      </c>
      <c r="S54" s="3">
        <v>37670</v>
      </c>
      <c r="T54" s="2">
        <f>IF(N54&gt;0,1,0)</f>
        <v>0</v>
      </c>
    </row>
    <row r="55" spans="1:20" x14ac:dyDescent="0.2">
      <c r="A55" s="6">
        <v>54</v>
      </c>
      <c r="B55" s="3">
        <v>37678</v>
      </c>
      <c r="C55" s="4">
        <v>0.186212717369199</v>
      </c>
      <c r="D55" s="4">
        <v>0.177019965648651</v>
      </c>
      <c r="E55" s="4">
        <v>192</v>
      </c>
      <c r="F55" s="4">
        <v>8</v>
      </c>
      <c r="G55" s="4">
        <v>28.485703125000001</v>
      </c>
      <c r="H55" s="4">
        <v>4.1666666666666699E-2</v>
      </c>
      <c r="I55" s="4">
        <v>3.125E-2</v>
      </c>
      <c r="J55" s="4">
        <v>2</v>
      </c>
      <c r="K55" s="4">
        <v>2003</v>
      </c>
      <c r="M55" s="5"/>
      <c r="O55" s="4">
        <v>4.1666666666666699E-2</v>
      </c>
      <c r="P55" s="4">
        <v>4.1666666666666699E-2</v>
      </c>
      <c r="Q55" s="4">
        <f>(P55-P54)/P54</f>
        <v>3.1666666666666696</v>
      </c>
      <c r="R55" s="4">
        <v>8</v>
      </c>
      <c r="S55" s="3">
        <v>37678</v>
      </c>
      <c r="T55" s="2">
        <f>IF(N55&gt;0,1,0)</f>
        <v>0</v>
      </c>
    </row>
    <row r="56" spans="1:20" x14ac:dyDescent="0.2">
      <c r="A56" s="6">
        <v>55</v>
      </c>
      <c r="B56" s="3">
        <v>37686</v>
      </c>
      <c r="C56" s="4">
        <v>0.109241975109196</v>
      </c>
      <c r="D56" s="4">
        <v>9.8926644772291197E-2</v>
      </c>
      <c r="E56" s="4">
        <v>192</v>
      </c>
      <c r="F56" s="4">
        <v>6</v>
      </c>
      <c r="G56" s="4">
        <v>28.883515625000001</v>
      </c>
      <c r="H56" s="4">
        <v>3.125E-2</v>
      </c>
      <c r="I56" s="4">
        <v>0</v>
      </c>
      <c r="J56" s="4">
        <v>3</v>
      </c>
      <c r="K56" s="4">
        <v>2003</v>
      </c>
      <c r="M56" s="5" t="s">
        <v>10</v>
      </c>
      <c r="O56" s="4">
        <v>3.125E-2</v>
      </c>
      <c r="P56" s="4">
        <v>3.125E-2</v>
      </c>
      <c r="Q56" s="4">
        <f>(P56-P55)/P55</f>
        <v>-0.25000000000000056</v>
      </c>
      <c r="R56" s="4">
        <v>9</v>
      </c>
      <c r="S56" s="3">
        <v>37686</v>
      </c>
      <c r="T56" s="2">
        <f>IF(N56&gt;0,1,0)</f>
        <v>0</v>
      </c>
    </row>
    <row r="57" spans="1:20" x14ac:dyDescent="0.2">
      <c r="A57" s="6">
        <v>56</v>
      </c>
      <c r="B57" s="3">
        <v>37694</v>
      </c>
      <c r="C57" s="4">
        <v>9.9880606919113102E-2</v>
      </c>
      <c r="D57" s="4">
        <v>8.9599449187517194E-2</v>
      </c>
      <c r="E57" s="4">
        <v>192</v>
      </c>
      <c r="F57" s="4">
        <v>0</v>
      </c>
      <c r="G57" s="4">
        <v>29.2052604166667</v>
      </c>
      <c r="H57" s="4">
        <v>0</v>
      </c>
      <c r="I57" s="4">
        <v>0</v>
      </c>
      <c r="J57" s="4">
        <v>3</v>
      </c>
      <c r="K57" s="4">
        <v>2003</v>
      </c>
      <c r="M57" s="5"/>
      <c r="O57" s="4">
        <v>0.01</v>
      </c>
      <c r="P57" s="4">
        <v>0.01</v>
      </c>
      <c r="Q57" s="4">
        <f>(P57-P56)/P56</f>
        <v>-0.67999999999999994</v>
      </c>
      <c r="R57" s="4">
        <v>10</v>
      </c>
      <c r="S57" s="3">
        <v>37694</v>
      </c>
      <c r="T57" s="2">
        <f>IF(N57&gt;0,1,0)</f>
        <v>0</v>
      </c>
    </row>
    <row r="58" spans="1:20" x14ac:dyDescent="0.2">
      <c r="A58" s="6">
        <v>57</v>
      </c>
      <c r="B58" s="3">
        <v>37702</v>
      </c>
      <c r="C58" s="4">
        <v>9.4124202409552202E-2</v>
      </c>
      <c r="D58" s="4">
        <v>7.9175005356470707E-2</v>
      </c>
      <c r="E58" s="4">
        <v>191.5</v>
      </c>
      <c r="F58" s="4">
        <v>0</v>
      </c>
      <c r="G58" s="4">
        <v>29.8284635416667</v>
      </c>
      <c r="H58" s="4">
        <v>0</v>
      </c>
      <c r="I58" s="4">
        <v>0</v>
      </c>
      <c r="J58" s="4">
        <v>3</v>
      </c>
      <c r="K58" s="4">
        <v>2003</v>
      </c>
      <c r="M58" s="5"/>
      <c r="O58" s="4">
        <v>0.01</v>
      </c>
      <c r="P58" s="4">
        <v>0.01</v>
      </c>
      <c r="Q58" s="4">
        <f>(P58-P57)/P57</f>
        <v>0</v>
      </c>
      <c r="R58" s="4">
        <v>11</v>
      </c>
      <c r="S58" s="3">
        <v>37702</v>
      </c>
      <c r="T58" s="2">
        <f>IF(N58&gt;0,1,0)</f>
        <v>0</v>
      </c>
    </row>
    <row r="59" spans="1:20" x14ac:dyDescent="0.2">
      <c r="A59" s="6">
        <v>58</v>
      </c>
      <c r="B59" s="3">
        <v>37710</v>
      </c>
      <c r="C59" s="4">
        <v>9.30042621783084E-2</v>
      </c>
      <c r="D59" s="4">
        <v>8.3277059098084805E-2</v>
      </c>
      <c r="E59" s="4">
        <v>192</v>
      </c>
      <c r="F59" s="4">
        <v>0</v>
      </c>
      <c r="G59" s="4">
        <v>30.159114583333299</v>
      </c>
      <c r="H59" s="4">
        <v>0</v>
      </c>
      <c r="I59" s="4">
        <v>0</v>
      </c>
      <c r="J59" s="4">
        <v>3</v>
      </c>
      <c r="K59" s="4">
        <v>2003</v>
      </c>
      <c r="M59" s="5"/>
      <c r="O59" s="4">
        <v>0.01</v>
      </c>
      <c r="P59" s="4">
        <v>0.01</v>
      </c>
      <c r="Q59" s="4">
        <f>(P59-P58)/P58</f>
        <v>0</v>
      </c>
      <c r="R59" s="4">
        <v>12</v>
      </c>
      <c r="S59" s="3">
        <v>37710</v>
      </c>
      <c r="T59" s="2">
        <f>IF(N59&gt;0,1,0)</f>
        <v>0</v>
      </c>
    </row>
    <row r="60" spans="1:20" x14ac:dyDescent="0.2">
      <c r="A60" s="6">
        <v>59</v>
      </c>
      <c r="B60" s="3">
        <v>37718</v>
      </c>
      <c r="C60" s="4">
        <v>8.5764684616685793E-2</v>
      </c>
      <c r="D60" s="4">
        <v>7.74833721419175E-2</v>
      </c>
      <c r="E60" s="4">
        <v>192</v>
      </c>
      <c r="F60" s="4">
        <v>0</v>
      </c>
      <c r="G60" s="4">
        <v>29.971145833333299</v>
      </c>
      <c r="H60" s="4">
        <v>0</v>
      </c>
      <c r="I60" s="4">
        <v>1.0482180293501E-2</v>
      </c>
      <c r="J60" s="4">
        <v>4</v>
      </c>
      <c r="K60" s="4">
        <v>2003</v>
      </c>
      <c r="M60" s="5" t="s">
        <v>9</v>
      </c>
      <c r="O60" s="4">
        <v>0.01</v>
      </c>
      <c r="P60" s="4">
        <v>0.01</v>
      </c>
      <c r="Q60" s="4">
        <f>(P60-P59)/P59</f>
        <v>0</v>
      </c>
      <c r="R60" s="4">
        <v>13</v>
      </c>
      <c r="S60" s="3">
        <v>37718</v>
      </c>
      <c r="T60" s="2">
        <f>IF(N60&gt;0,1,0)</f>
        <v>0</v>
      </c>
    </row>
    <row r="61" spans="1:20" x14ac:dyDescent="0.2">
      <c r="A61" s="6">
        <v>60</v>
      </c>
      <c r="B61" s="3">
        <v>37726</v>
      </c>
      <c r="C61" s="4">
        <v>0.11888114673396</v>
      </c>
      <c r="D61" s="4">
        <v>0.108939512322346</v>
      </c>
      <c r="E61" s="4">
        <v>190.8</v>
      </c>
      <c r="F61" s="4">
        <v>2</v>
      </c>
      <c r="G61" s="4">
        <v>29.865104166666701</v>
      </c>
      <c r="H61" s="4">
        <v>1.0482180293501E-2</v>
      </c>
      <c r="I61" s="4">
        <v>1.0416666666666701E-2</v>
      </c>
      <c r="J61" s="4">
        <v>4</v>
      </c>
      <c r="K61" s="4">
        <v>2003</v>
      </c>
      <c r="M61" s="5"/>
      <c r="O61" s="4">
        <v>1.0482180293501E-2</v>
      </c>
      <c r="P61" s="4">
        <v>1.0482180293501E-2</v>
      </c>
      <c r="Q61" s="4">
        <f>(P61-P60)/P60</f>
        <v>4.82180293501E-2</v>
      </c>
      <c r="R61" s="4">
        <v>14</v>
      </c>
      <c r="S61" s="3">
        <v>37726</v>
      </c>
      <c r="T61" s="2">
        <f>IF(N61&gt;0,1,0)</f>
        <v>0</v>
      </c>
    </row>
    <row r="62" spans="1:20" x14ac:dyDescent="0.2">
      <c r="A62" s="6">
        <v>61</v>
      </c>
      <c r="B62" s="3">
        <v>37734</v>
      </c>
      <c r="C62" s="4">
        <v>0.103062287678844</v>
      </c>
      <c r="D62" s="4">
        <v>0.12249717861414</v>
      </c>
      <c r="E62" s="4">
        <v>192</v>
      </c>
      <c r="F62" s="4">
        <v>2</v>
      </c>
      <c r="G62" s="4">
        <v>29.456119791666701</v>
      </c>
      <c r="H62" s="4">
        <v>1.0416666666666701E-2</v>
      </c>
      <c r="I62" s="4">
        <v>0</v>
      </c>
      <c r="J62" s="4">
        <v>4</v>
      </c>
      <c r="K62" s="4">
        <v>2003</v>
      </c>
      <c r="M62" s="5"/>
      <c r="O62" s="4">
        <v>1.0416666666666701E-2</v>
      </c>
      <c r="P62" s="4">
        <v>1.0416666666666701E-2</v>
      </c>
      <c r="Q62" s="4">
        <f>(P62-P61)/P61</f>
        <v>-6.2499999999921941E-3</v>
      </c>
      <c r="R62" s="4">
        <v>15</v>
      </c>
      <c r="S62" s="3">
        <v>37734</v>
      </c>
      <c r="T62" s="2">
        <f>IF(N62&gt;0,1,0)</f>
        <v>0</v>
      </c>
    </row>
    <row r="63" spans="1:20" x14ac:dyDescent="0.2">
      <c r="A63" s="6">
        <v>62</v>
      </c>
      <c r="B63" s="3">
        <v>37742</v>
      </c>
      <c r="C63" s="4">
        <v>0.134084357814057</v>
      </c>
      <c r="D63" s="4">
        <v>0.123555673907201</v>
      </c>
      <c r="E63" s="4">
        <v>192</v>
      </c>
      <c r="F63" s="4">
        <v>0</v>
      </c>
      <c r="G63" s="4">
        <v>28.8103645833333</v>
      </c>
      <c r="H63" s="4">
        <v>0</v>
      </c>
      <c r="I63" s="4">
        <v>0</v>
      </c>
      <c r="J63" s="4">
        <v>5</v>
      </c>
      <c r="K63" s="4">
        <v>2003</v>
      </c>
      <c r="M63" s="5" t="s">
        <v>8</v>
      </c>
      <c r="O63" s="4">
        <v>0.01</v>
      </c>
      <c r="P63" s="4">
        <v>0.01</v>
      </c>
      <c r="Q63" s="4">
        <f>(P63-P62)/P62</f>
        <v>-4.0000000000003123E-2</v>
      </c>
      <c r="R63" s="4">
        <v>16</v>
      </c>
      <c r="S63" s="3">
        <v>37742</v>
      </c>
      <c r="T63" s="2">
        <f>IF(N63&gt;0,1,0)</f>
        <v>0</v>
      </c>
    </row>
    <row r="64" spans="1:20" x14ac:dyDescent="0.2">
      <c r="A64" s="6">
        <v>63</v>
      </c>
      <c r="B64" s="3">
        <v>37750</v>
      </c>
      <c r="C64" s="4">
        <v>0.13713331003156001</v>
      </c>
      <c r="D64" s="4">
        <v>0.116199317077796</v>
      </c>
      <c r="E64" s="4">
        <v>192</v>
      </c>
      <c r="F64" s="4">
        <v>0</v>
      </c>
      <c r="G64" s="4">
        <v>28.769583333333301</v>
      </c>
      <c r="H64" s="4">
        <v>0</v>
      </c>
      <c r="I64" s="4">
        <v>0</v>
      </c>
      <c r="J64" s="4">
        <v>5</v>
      </c>
      <c r="K64" s="4">
        <v>2003</v>
      </c>
      <c r="M64" s="5"/>
      <c r="O64" s="4">
        <v>0.01</v>
      </c>
      <c r="P64" s="4">
        <v>0.01</v>
      </c>
      <c r="Q64" s="4">
        <f>(P64-P63)/P63</f>
        <v>0</v>
      </c>
      <c r="R64" s="4">
        <v>17</v>
      </c>
      <c r="S64" s="3">
        <v>37750</v>
      </c>
      <c r="T64" s="2">
        <f>IF(N64&gt;0,1,0)</f>
        <v>0</v>
      </c>
    </row>
    <row r="65" spans="1:20" x14ac:dyDescent="0.2">
      <c r="A65" s="6">
        <v>64</v>
      </c>
      <c r="B65" s="3">
        <v>37758</v>
      </c>
      <c r="C65" s="4">
        <v>0.12868483023097099</v>
      </c>
      <c r="D65" s="4">
        <v>0.112870402634144</v>
      </c>
      <c r="E65" s="4">
        <v>192</v>
      </c>
      <c r="F65" s="4">
        <v>0</v>
      </c>
      <c r="G65" s="4">
        <v>28.639895833333298</v>
      </c>
      <c r="H65" s="4">
        <v>0</v>
      </c>
      <c r="I65" s="4">
        <v>0</v>
      </c>
      <c r="J65" s="4">
        <v>5</v>
      </c>
      <c r="K65" s="4">
        <v>2003</v>
      </c>
      <c r="M65" s="5"/>
      <c r="O65" s="4">
        <v>0.01</v>
      </c>
      <c r="P65" s="4">
        <v>0.01</v>
      </c>
      <c r="Q65" s="4">
        <f>(P65-P64)/P64</f>
        <v>0</v>
      </c>
      <c r="R65" s="4">
        <v>18</v>
      </c>
      <c r="S65" s="3">
        <v>37758</v>
      </c>
      <c r="T65" s="2">
        <f>IF(N65&gt;0,1,0)</f>
        <v>0</v>
      </c>
    </row>
    <row r="66" spans="1:20" x14ac:dyDescent="0.2">
      <c r="A66" s="6">
        <v>65</v>
      </c>
      <c r="B66" s="3">
        <v>37766</v>
      </c>
      <c r="C66" s="4">
        <v>0.152661213185638</v>
      </c>
      <c r="D66" s="4">
        <v>0.13839893043041199</v>
      </c>
      <c r="E66" s="4">
        <v>192</v>
      </c>
      <c r="F66" s="4">
        <v>0</v>
      </c>
      <c r="G66" s="4">
        <v>28.066848958333299</v>
      </c>
      <c r="H66" s="4">
        <v>0</v>
      </c>
      <c r="I66" s="4">
        <v>0</v>
      </c>
      <c r="J66" s="4">
        <v>5</v>
      </c>
      <c r="K66" s="4">
        <v>2003</v>
      </c>
      <c r="M66" s="5"/>
      <c r="O66" s="4">
        <v>0.01</v>
      </c>
      <c r="P66" s="4">
        <v>0.01</v>
      </c>
      <c r="Q66" s="4">
        <f>(P66-P65)/P65</f>
        <v>0</v>
      </c>
      <c r="R66" s="4">
        <v>19</v>
      </c>
      <c r="S66" s="3">
        <v>37766</v>
      </c>
      <c r="T66" s="2">
        <f>IF(N66&gt;0,1,0)</f>
        <v>0</v>
      </c>
    </row>
    <row r="67" spans="1:20" x14ac:dyDescent="0.2">
      <c r="A67" s="6">
        <v>66</v>
      </c>
      <c r="B67" s="3">
        <v>37774</v>
      </c>
      <c r="C67" s="4">
        <v>0.198434814603792</v>
      </c>
      <c r="D67" s="4">
        <v>0.19593156874179801</v>
      </c>
      <c r="E67" s="4">
        <v>192</v>
      </c>
      <c r="F67" s="4">
        <v>0</v>
      </c>
      <c r="G67" s="4">
        <v>28.118385416666701</v>
      </c>
      <c r="H67" s="4">
        <v>0</v>
      </c>
      <c r="I67" s="4">
        <v>0</v>
      </c>
      <c r="J67" s="4">
        <v>6</v>
      </c>
      <c r="K67" s="4">
        <v>2003</v>
      </c>
      <c r="M67" s="5" t="s">
        <v>7</v>
      </c>
      <c r="O67" s="4">
        <v>0.01</v>
      </c>
      <c r="P67" s="4">
        <v>0.01</v>
      </c>
      <c r="Q67" s="4">
        <f>(P67-P66)/P66</f>
        <v>0</v>
      </c>
      <c r="R67" s="4">
        <v>20</v>
      </c>
      <c r="S67" s="3">
        <v>37774</v>
      </c>
      <c r="T67" s="2">
        <f>IF(N67&gt;0,1,0)</f>
        <v>0</v>
      </c>
    </row>
    <row r="68" spans="1:20" x14ac:dyDescent="0.2">
      <c r="A68" s="6">
        <v>67</v>
      </c>
      <c r="B68" s="3">
        <v>37782</v>
      </c>
      <c r="C68" s="4">
        <v>0.15482166595756999</v>
      </c>
      <c r="D68" s="4">
        <v>0.137006362279256</v>
      </c>
      <c r="E68" s="4">
        <v>192</v>
      </c>
      <c r="F68" s="4">
        <v>0</v>
      </c>
      <c r="G68" s="4">
        <v>28.303828124999999</v>
      </c>
      <c r="H68" s="4">
        <v>0</v>
      </c>
      <c r="I68" s="4">
        <v>0.405555555555556</v>
      </c>
      <c r="J68" s="4">
        <v>6</v>
      </c>
      <c r="K68" s="4">
        <v>2003</v>
      </c>
      <c r="M68" s="5"/>
      <c r="O68" s="4">
        <v>0.01</v>
      </c>
      <c r="P68" s="4">
        <v>0.01</v>
      </c>
      <c r="Q68" s="4">
        <f>(P68-P67)/P67</f>
        <v>0</v>
      </c>
      <c r="R68" s="4">
        <v>21</v>
      </c>
      <c r="S68" s="3">
        <v>37782</v>
      </c>
      <c r="T68" s="2">
        <f>IF(N68&gt;0,1,0)</f>
        <v>0</v>
      </c>
    </row>
    <row r="69" spans="1:20" x14ac:dyDescent="0.2">
      <c r="A69" s="6">
        <v>68</v>
      </c>
      <c r="B69" s="3">
        <v>37790</v>
      </c>
      <c r="C69" s="4">
        <v>0.13083953731175901</v>
      </c>
      <c r="D69" s="4">
        <v>0.119816244890292</v>
      </c>
      <c r="E69" s="4">
        <v>180</v>
      </c>
      <c r="F69" s="4">
        <v>73</v>
      </c>
      <c r="G69" s="4">
        <v>28.552578125</v>
      </c>
      <c r="H69" s="4">
        <v>0.405555555555556</v>
      </c>
      <c r="I69" s="4">
        <v>0.184307530279094</v>
      </c>
      <c r="J69" s="4">
        <v>6</v>
      </c>
      <c r="K69" s="4">
        <v>2003</v>
      </c>
      <c r="M69" s="5"/>
      <c r="O69" s="4">
        <v>0.405555555555556</v>
      </c>
      <c r="P69" s="4">
        <v>0.405555555555556</v>
      </c>
      <c r="Q69" s="4">
        <f>(P69-P68)/P68</f>
        <v>39.5555555555556</v>
      </c>
      <c r="R69" s="4">
        <v>22</v>
      </c>
      <c r="S69" s="3">
        <v>37790</v>
      </c>
      <c r="T69" s="2">
        <f>IF(N69&gt;0,1,0)</f>
        <v>0</v>
      </c>
    </row>
    <row r="70" spans="1:20" x14ac:dyDescent="0.2">
      <c r="A70" s="6">
        <v>69</v>
      </c>
      <c r="B70" s="3">
        <v>37798</v>
      </c>
      <c r="C70" s="4">
        <v>0.13289987009305201</v>
      </c>
      <c r="D70" s="4">
        <v>0.13198645661274599</v>
      </c>
      <c r="E70" s="4">
        <v>189.9</v>
      </c>
      <c r="F70" s="4">
        <v>35</v>
      </c>
      <c r="G70" s="4">
        <v>28.952734374999999</v>
      </c>
      <c r="H70" s="4">
        <v>0.184307530279094</v>
      </c>
      <c r="I70" s="4">
        <v>0</v>
      </c>
      <c r="J70" s="4">
        <v>6</v>
      </c>
      <c r="K70" s="4">
        <v>2003</v>
      </c>
      <c r="M70" s="5"/>
      <c r="O70" s="4">
        <v>0.184307530279094</v>
      </c>
      <c r="P70" s="4">
        <v>0.184307530279094</v>
      </c>
      <c r="Q70" s="4">
        <f>(P70-P69)/P69</f>
        <v>-0.54554307602415231</v>
      </c>
      <c r="R70" s="4">
        <v>23</v>
      </c>
      <c r="S70" s="3">
        <v>37798</v>
      </c>
      <c r="T70" s="2">
        <f>IF(N70&gt;0,1,0)</f>
        <v>0</v>
      </c>
    </row>
    <row r="71" spans="1:20" x14ac:dyDescent="0.2">
      <c r="A71" s="6">
        <v>70</v>
      </c>
      <c r="B71" s="3">
        <v>37806</v>
      </c>
      <c r="C71" s="4">
        <v>0.141115694234134</v>
      </c>
      <c r="D71" s="4">
        <v>0.135034782191118</v>
      </c>
      <c r="E71" s="4">
        <v>192</v>
      </c>
      <c r="F71" s="4">
        <v>0</v>
      </c>
      <c r="G71" s="4">
        <v>29.047552083333301</v>
      </c>
      <c r="H71" s="4">
        <v>0</v>
      </c>
      <c r="I71" s="4">
        <v>0</v>
      </c>
      <c r="J71" s="4">
        <v>7</v>
      </c>
      <c r="K71" s="4">
        <v>2003</v>
      </c>
      <c r="M71" s="5" t="s">
        <v>15</v>
      </c>
      <c r="O71" s="4">
        <v>0.01</v>
      </c>
      <c r="P71" s="4">
        <v>0.01</v>
      </c>
      <c r="Q71" s="4">
        <f>(P71-P70)/P70</f>
        <v>-0.945742857142857</v>
      </c>
      <c r="R71" s="4">
        <v>24</v>
      </c>
      <c r="S71" s="3">
        <v>37806</v>
      </c>
      <c r="T71" s="2">
        <f>IF(N71&gt;0,1,0)</f>
        <v>0</v>
      </c>
    </row>
    <row r="72" spans="1:20" x14ac:dyDescent="0.2">
      <c r="A72" s="6">
        <v>71</v>
      </c>
      <c r="B72" s="3">
        <v>37814</v>
      </c>
      <c r="C72" s="4">
        <v>0.16028664675023799</v>
      </c>
      <c r="D72" s="4">
        <v>0.126056209206581</v>
      </c>
      <c r="E72" s="4">
        <v>192</v>
      </c>
      <c r="F72" s="4">
        <v>0</v>
      </c>
      <c r="G72" s="4">
        <v>28.634895833333299</v>
      </c>
      <c r="H72" s="4">
        <v>0</v>
      </c>
      <c r="I72" s="4">
        <v>1.0416666666666701E-2</v>
      </c>
      <c r="J72" s="4">
        <v>7</v>
      </c>
      <c r="K72" s="4">
        <v>2003</v>
      </c>
      <c r="M72" s="5"/>
      <c r="O72" s="4">
        <v>0.01</v>
      </c>
      <c r="P72" s="4">
        <v>0.01</v>
      </c>
      <c r="Q72" s="4">
        <f>(P72-P71)/P71</f>
        <v>0</v>
      </c>
      <c r="R72" s="4">
        <v>25</v>
      </c>
      <c r="S72" s="3">
        <v>37814</v>
      </c>
      <c r="T72" s="2">
        <f>IF(N72&gt;0,1,0)</f>
        <v>0</v>
      </c>
    </row>
    <row r="73" spans="1:20" x14ac:dyDescent="0.2">
      <c r="A73" s="6">
        <v>72</v>
      </c>
      <c r="B73" s="3">
        <v>37822</v>
      </c>
      <c r="C73" s="4">
        <v>0.176922958137261</v>
      </c>
      <c r="D73" s="4">
        <v>0.14168671071529401</v>
      </c>
      <c r="E73" s="4">
        <v>192</v>
      </c>
      <c r="F73" s="4">
        <v>2</v>
      </c>
      <c r="G73" s="4">
        <v>28.247916666666701</v>
      </c>
      <c r="H73" s="4">
        <v>1.0416666666666701E-2</v>
      </c>
      <c r="I73" s="4">
        <v>0</v>
      </c>
      <c r="J73" s="4">
        <v>7</v>
      </c>
      <c r="K73" s="4">
        <v>2003</v>
      </c>
      <c r="M73" s="5"/>
      <c r="O73" s="4">
        <v>1.0416666666666701E-2</v>
      </c>
      <c r="P73" s="4">
        <v>1.0416666666666701E-2</v>
      </c>
      <c r="Q73" s="4">
        <f>(P73-P72)/P72</f>
        <v>4.1666666666670057E-2</v>
      </c>
      <c r="R73" s="4">
        <v>26</v>
      </c>
      <c r="S73" s="3">
        <v>37822</v>
      </c>
      <c r="T73" s="2">
        <f>IF(N73&gt;0,1,0)</f>
        <v>0</v>
      </c>
    </row>
    <row r="74" spans="1:20" x14ac:dyDescent="0.2">
      <c r="A74" s="6">
        <v>73</v>
      </c>
      <c r="B74" s="3">
        <v>37830</v>
      </c>
      <c r="C74" s="4">
        <v>0.123842367994004</v>
      </c>
      <c r="D74" s="4">
        <v>0.130611356347799</v>
      </c>
      <c r="E74" s="4">
        <v>192</v>
      </c>
      <c r="F74" s="4">
        <v>0</v>
      </c>
      <c r="G74" s="4">
        <v>28.157005208333299</v>
      </c>
      <c r="H74" s="4">
        <v>0</v>
      </c>
      <c r="I74" s="4">
        <v>4.1666666666666699E-2</v>
      </c>
      <c r="J74" s="4">
        <v>7</v>
      </c>
      <c r="K74" s="4">
        <v>2003</v>
      </c>
      <c r="M74" s="5"/>
      <c r="O74" s="4">
        <v>0.01</v>
      </c>
      <c r="P74" s="4">
        <v>0.01</v>
      </c>
      <c r="Q74" s="4">
        <f>(P74-P73)/P73</f>
        <v>-4.0000000000003123E-2</v>
      </c>
      <c r="R74" s="4">
        <v>27</v>
      </c>
      <c r="S74" s="3">
        <v>37830</v>
      </c>
      <c r="T74" s="2">
        <f>IF(N74&gt;0,1,0)</f>
        <v>0</v>
      </c>
    </row>
    <row r="75" spans="1:20" x14ac:dyDescent="0.2">
      <c r="A75" s="6">
        <v>74</v>
      </c>
      <c r="B75" s="3">
        <v>37838</v>
      </c>
      <c r="C75" s="4">
        <v>0.146755807101727</v>
      </c>
      <c r="D75" s="4" t="s">
        <v>0</v>
      </c>
      <c r="E75" s="4">
        <v>192</v>
      </c>
      <c r="F75" s="4">
        <v>8</v>
      </c>
      <c r="G75" s="4">
        <v>28.106093749999999</v>
      </c>
      <c r="H75" s="4">
        <v>4.1666666666666699E-2</v>
      </c>
      <c r="I75" s="4">
        <v>1.0416666666666701E-2</v>
      </c>
      <c r="J75" s="4">
        <v>8</v>
      </c>
      <c r="K75" s="4">
        <v>2003</v>
      </c>
      <c r="M75" s="5" t="s">
        <v>5</v>
      </c>
      <c r="O75" s="4">
        <v>4.1666666666666699E-2</v>
      </c>
      <c r="P75" s="4">
        <v>4.1666666666666699E-2</v>
      </c>
      <c r="Q75" s="4">
        <f>(P75-P74)/P74</f>
        <v>3.1666666666666696</v>
      </c>
      <c r="R75" s="4">
        <v>28</v>
      </c>
      <c r="S75" s="3">
        <v>37838</v>
      </c>
      <c r="T75" s="2">
        <f>IF(N75&gt;0,1,0)</f>
        <v>0</v>
      </c>
    </row>
    <row r="76" spans="1:20" x14ac:dyDescent="0.2">
      <c r="A76" s="6">
        <v>75</v>
      </c>
      <c r="B76" s="3">
        <v>37846</v>
      </c>
      <c r="C76" s="4">
        <v>0.13839453805445001</v>
      </c>
      <c r="D76" s="4">
        <v>0.112993275125821</v>
      </c>
      <c r="E76" s="4">
        <v>192</v>
      </c>
      <c r="F76" s="4">
        <v>2</v>
      </c>
      <c r="G76" s="4">
        <v>27.786953125</v>
      </c>
      <c r="H76" s="4">
        <v>1.0416666666666701E-2</v>
      </c>
      <c r="I76" s="4">
        <v>0</v>
      </c>
      <c r="J76" s="4">
        <v>8</v>
      </c>
      <c r="K76" s="4">
        <v>2003</v>
      </c>
      <c r="M76" s="5"/>
      <c r="O76" s="4">
        <v>1.0416666666666701E-2</v>
      </c>
      <c r="P76" s="4">
        <v>1.0416666666666701E-2</v>
      </c>
      <c r="Q76" s="4">
        <f>(P76-P75)/P75</f>
        <v>-0.74999999999999944</v>
      </c>
      <c r="R76" s="4">
        <v>29</v>
      </c>
      <c r="S76" s="3">
        <v>37846</v>
      </c>
      <c r="T76" s="2">
        <f>IF(N76&gt;0,1,0)</f>
        <v>0</v>
      </c>
    </row>
    <row r="77" spans="1:20" x14ac:dyDescent="0.2">
      <c r="A77" s="6">
        <v>76</v>
      </c>
      <c r="B77" s="3">
        <v>37854</v>
      </c>
      <c r="C77" s="4">
        <v>0.14709626784962099</v>
      </c>
      <c r="D77" s="4">
        <v>0.12580700094501199</v>
      </c>
      <c r="E77" s="4">
        <v>191.3</v>
      </c>
      <c r="F77" s="4">
        <v>0</v>
      </c>
      <c r="G77" s="4">
        <v>27.736562500000002</v>
      </c>
      <c r="H77" s="4">
        <v>0</v>
      </c>
      <c r="I77" s="4">
        <v>5.2083333333333296E-3</v>
      </c>
      <c r="J77" s="4">
        <v>8</v>
      </c>
      <c r="K77" s="4">
        <v>2003</v>
      </c>
      <c r="M77" s="5"/>
      <c r="O77" s="4">
        <v>0.01</v>
      </c>
      <c r="P77" s="4">
        <v>0.01</v>
      </c>
      <c r="Q77" s="4">
        <f>(P77-P76)/P76</f>
        <v>-4.0000000000003123E-2</v>
      </c>
      <c r="R77" s="4">
        <v>30</v>
      </c>
      <c r="S77" s="3">
        <v>37854</v>
      </c>
      <c r="T77" s="2">
        <f>IF(N77&gt;0,1,0)</f>
        <v>0</v>
      </c>
    </row>
    <row r="78" spans="1:20" x14ac:dyDescent="0.2">
      <c r="A78" s="6">
        <v>77</v>
      </c>
      <c r="B78" s="3">
        <v>37862</v>
      </c>
      <c r="C78" s="4">
        <v>0.18879216055696199</v>
      </c>
      <c r="D78" s="4">
        <v>0.15626065929730701</v>
      </c>
      <c r="E78" s="4">
        <v>192</v>
      </c>
      <c r="F78" s="4">
        <v>1</v>
      </c>
      <c r="G78" s="4">
        <v>27.579687499999999</v>
      </c>
      <c r="H78" s="4">
        <v>5.2083333333333296E-3</v>
      </c>
      <c r="I78" s="4">
        <v>1.5940488841657802E-2</v>
      </c>
      <c r="J78" s="4">
        <v>8</v>
      </c>
      <c r="K78" s="4">
        <v>2003</v>
      </c>
      <c r="M78" s="5"/>
      <c r="O78" s="4">
        <v>5.2083333333333296E-3</v>
      </c>
      <c r="P78" s="4">
        <v>5.2083333333333296E-3</v>
      </c>
      <c r="Q78" s="4">
        <f>(P78-P77)/P77</f>
        <v>-0.47916666666666707</v>
      </c>
      <c r="R78" s="4">
        <v>31</v>
      </c>
      <c r="S78" s="3">
        <v>37862</v>
      </c>
      <c r="T78" s="2">
        <f>IF(N78&gt;0,1,0)</f>
        <v>0</v>
      </c>
    </row>
    <row r="79" spans="1:20" x14ac:dyDescent="0.2">
      <c r="A79" s="6">
        <v>78</v>
      </c>
      <c r="B79" s="3">
        <v>37870</v>
      </c>
      <c r="C79" s="4">
        <v>0.210825018196002</v>
      </c>
      <c r="D79" s="4">
        <v>0.26116306334734002</v>
      </c>
      <c r="E79" s="4">
        <v>188.2</v>
      </c>
      <c r="F79" s="4">
        <v>3</v>
      </c>
      <c r="G79" s="4">
        <v>27.327682291666701</v>
      </c>
      <c r="H79" s="4">
        <v>1.5940488841657802E-2</v>
      </c>
      <c r="I79" s="4">
        <v>6.4935064935064901E-2</v>
      </c>
      <c r="J79" s="4">
        <v>9</v>
      </c>
      <c r="K79" s="4">
        <v>2003</v>
      </c>
      <c r="M79" s="5" t="s">
        <v>4</v>
      </c>
      <c r="O79" s="4">
        <v>1.5940488841657802E-2</v>
      </c>
      <c r="P79" s="4">
        <v>1.5940488841657802E-2</v>
      </c>
      <c r="Q79" s="4">
        <f>(P79-P78)/P78</f>
        <v>2.0605738575983001</v>
      </c>
      <c r="R79" s="4">
        <v>32</v>
      </c>
      <c r="S79" s="3">
        <v>37870</v>
      </c>
      <c r="T79" s="2">
        <f>IF(N79&gt;0,1,0)</f>
        <v>0</v>
      </c>
    </row>
    <row r="80" spans="1:20" x14ac:dyDescent="0.2">
      <c r="A80" s="6">
        <v>79</v>
      </c>
      <c r="B80" s="3">
        <v>37878</v>
      </c>
      <c r="C80" s="4">
        <v>0.252602194953296</v>
      </c>
      <c r="D80" s="4">
        <v>0.237677596509457</v>
      </c>
      <c r="E80" s="4">
        <v>184.8</v>
      </c>
      <c r="F80" s="4">
        <v>12</v>
      </c>
      <c r="G80" s="4">
        <v>27.415651041666699</v>
      </c>
      <c r="H80" s="4">
        <v>6.4935064935064901E-2</v>
      </c>
      <c r="I80" s="4">
        <v>0</v>
      </c>
      <c r="J80" s="4">
        <v>9</v>
      </c>
      <c r="K80" s="4">
        <v>2003</v>
      </c>
      <c r="M80" s="5"/>
      <c r="O80" s="4">
        <v>6.4935064935064901E-2</v>
      </c>
      <c r="P80" s="4">
        <v>6.4935064935064901E-2</v>
      </c>
      <c r="Q80" s="4">
        <f>(P80-P79)/P79</f>
        <v>3.0735930735930737</v>
      </c>
      <c r="R80" s="4">
        <v>33</v>
      </c>
      <c r="S80" s="3">
        <v>37878</v>
      </c>
      <c r="T80" s="2">
        <f>IF(N80&gt;0,1,0)</f>
        <v>0</v>
      </c>
    </row>
    <row r="81" spans="1:20" x14ac:dyDescent="0.2">
      <c r="A81" s="6">
        <v>80</v>
      </c>
      <c r="B81" s="3">
        <v>37886</v>
      </c>
      <c r="C81" s="4">
        <v>0.22324584112052001</v>
      </c>
      <c r="D81" s="4">
        <v>0.23663292825221999</v>
      </c>
      <c r="E81" s="4">
        <v>192</v>
      </c>
      <c r="F81" s="4">
        <v>0</v>
      </c>
      <c r="G81" s="4">
        <v>27.7273697916667</v>
      </c>
      <c r="H81" s="4">
        <v>0</v>
      </c>
      <c r="I81" s="4">
        <v>0</v>
      </c>
      <c r="J81" s="4">
        <v>9</v>
      </c>
      <c r="K81" s="4">
        <v>2003</v>
      </c>
      <c r="M81" s="5"/>
      <c r="O81" s="4">
        <v>0.01</v>
      </c>
      <c r="P81" s="4">
        <v>0.01</v>
      </c>
      <c r="Q81" s="4">
        <f>(P81-P80)/P80</f>
        <v>-0.84599999999999986</v>
      </c>
      <c r="R81" s="4">
        <v>34</v>
      </c>
      <c r="S81" s="3">
        <v>37886</v>
      </c>
      <c r="T81" s="2">
        <f>IF(N81&gt;0,1,0)</f>
        <v>0</v>
      </c>
    </row>
    <row r="82" spans="1:20" x14ac:dyDescent="0.2">
      <c r="A82" s="6">
        <v>81</v>
      </c>
      <c r="B82" s="3">
        <v>37894</v>
      </c>
      <c r="C82" s="4">
        <v>0.191764925037407</v>
      </c>
      <c r="D82" s="4">
        <v>0.16823181758324299</v>
      </c>
      <c r="E82" s="4">
        <v>192</v>
      </c>
      <c r="F82" s="4">
        <v>0</v>
      </c>
      <c r="G82" s="4">
        <v>27.9013802083333</v>
      </c>
      <c r="H82" s="4">
        <v>0</v>
      </c>
      <c r="I82" s="4">
        <v>5.2083333333333301E-2</v>
      </c>
      <c r="J82" s="4">
        <v>9</v>
      </c>
      <c r="K82" s="4">
        <v>2003</v>
      </c>
      <c r="M82" s="5"/>
      <c r="O82" s="4">
        <v>0.01</v>
      </c>
      <c r="P82" s="4">
        <v>0.01</v>
      </c>
      <c r="Q82" s="4">
        <f>(P82-P81)/P81</f>
        <v>0</v>
      </c>
      <c r="R82" s="4">
        <v>35</v>
      </c>
      <c r="S82" s="3">
        <v>37894</v>
      </c>
      <c r="T82" s="2">
        <f>IF(N82&gt;0,1,0)</f>
        <v>0</v>
      </c>
    </row>
    <row r="83" spans="1:20" x14ac:dyDescent="0.2">
      <c r="A83" s="6">
        <v>82</v>
      </c>
      <c r="B83" s="3">
        <v>37902</v>
      </c>
      <c r="C83" s="4">
        <v>0.18026579424945799</v>
      </c>
      <c r="D83" s="4">
        <v>0.16336052616437299</v>
      </c>
      <c r="E83" s="4">
        <v>192</v>
      </c>
      <c r="F83" s="4">
        <v>10</v>
      </c>
      <c r="G83" s="4">
        <v>28.2605729166667</v>
      </c>
      <c r="H83" s="4">
        <v>5.2083333333333301E-2</v>
      </c>
      <c r="I83" s="4">
        <v>5.2083333333333296E-3</v>
      </c>
      <c r="J83" s="4">
        <v>10</v>
      </c>
      <c r="K83" s="4">
        <v>2003</v>
      </c>
      <c r="M83" s="5" t="s">
        <v>3</v>
      </c>
      <c r="O83" s="4">
        <v>5.2083333333333301E-2</v>
      </c>
      <c r="P83" s="4">
        <v>5.2083333333333301E-2</v>
      </c>
      <c r="Q83" s="4">
        <f>(P83-P82)/P82</f>
        <v>4.2083333333333295</v>
      </c>
      <c r="R83" s="4">
        <v>36</v>
      </c>
      <c r="S83" s="3">
        <v>37902</v>
      </c>
      <c r="T83" s="2">
        <f>IF(N83&gt;0,1,0)</f>
        <v>0</v>
      </c>
    </row>
    <row r="84" spans="1:20" x14ac:dyDescent="0.2">
      <c r="A84" s="6">
        <v>83</v>
      </c>
      <c r="B84" s="3">
        <v>37910</v>
      </c>
      <c r="C84" s="4">
        <v>0.14513839212142801</v>
      </c>
      <c r="D84" s="4">
        <v>0.13646014779806101</v>
      </c>
      <c r="E84" s="4">
        <v>192</v>
      </c>
      <c r="F84" s="4">
        <v>1</v>
      </c>
      <c r="G84" s="4">
        <v>28.501406249999999</v>
      </c>
      <c r="H84" s="4">
        <v>5.2083333333333296E-3</v>
      </c>
      <c r="I84" s="4">
        <v>5.2083333333333301E-2</v>
      </c>
      <c r="J84" s="4">
        <v>10</v>
      </c>
      <c r="K84" s="4">
        <v>2003</v>
      </c>
      <c r="M84" s="5"/>
      <c r="O84" s="4">
        <v>5.2083333333333296E-3</v>
      </c>
      <c r="P84" s="4">
        <v>5.2083333333333296E-3</v>
      </c>
      <c r="Q84" s="4">
        <f>(P84-P83)/P83</f>
        <v>-0.9</v>
      </c>
      <c r="R84" s="4">
        <v>37</v>
      </c>
      <c r="S84" s="3">
        <v>37910</v>
      </c>
      <c r="T84" s="2">
        <f>IF(N84&gt;0,1,0)</f>
        <v>0</v>
      </c>
    </row>
    <row r="85" spans="1:20" x14ac:dyDescent="0.2">
      <c r="A85" s="6">
        <v>84</v>
      </c>
      <c r="B85" s="10">
        <v>37918</v>
      </c>
      <c r="C85" s="4">
        <v>0.15708160043827099</v>
      </c>
      <c r="D85" s="4">
        <v>0.14961686134338401</v>
      </c>
      <c r="E85" s="4">
        <v>192</v>
      </c>
      <c r="F85" s="4">
        <v>10</v>
      </c>
      <c r="G85" s="4">
        <v>28.249583333333401</v>
      </c>
      <c r="H85" s="4">
        <v>5.2083333333333301E-2</v>
      </c>
      <c r="I85" s="4">
        <v>0.13561320754716999</v>
      </c>
      <c r="J85" s="4">
        <v>10</v>
      </c>
      <c r="K85" s="4">
        <v>2003</v>
      </c>
      <c r="M85" s="5"/>
      <c r="O85" s="4">
        <v>5.2083333333333301E-2</v>
      </c>
      <c r="P85" s="4">
        <v>5.2083333333333301E-2</v>
      </c>
      <c r="Q85" s="4">
        <f>(P85-P84)/P84</f>
        <v>9.0000000000000018</v>
      </c>
      <c r="R85" s="4">
        <v>38</v>
      </c>
      <c r="S85" s="3">
        <v>37918</v>
      </c>
      <c r="T85" s="2">
        <f>IF(O85&gt;0,1,0)</f>
        <v>1</v>
      </c>
    </row>
    <row r="86" spans="1:20" x14ac:dyDescent="0.2">
      <c r="A86" s="6">
        <v>85</v>
      </c>
      <c r="B86" s="3">
        <v>37926</v>
      </c>
      <c r="C86" s="4">
        <v>0.19047551312380401</v>
      </c>
      <c r="D86" s="4">
        <v>0.191766684254011</v>
      </c>
      <c r="E86" s="4">
        <v>169.6</v>
      </c>
      <c r="F86" s="4">
        <v>23</v>
      </c>
      <c r="G86" s="4">
        <v>28.254609375000001</v>
      </c>
      <c r="H86" s="4">
        <v>0.13561320754716999</v>
      </c>
      <c r="I86" s="4">
        <v>0.34895833333333298</v>
      </c>
      <c r="J86" s="4">
        <v>11</v>
      </c>
      <c r="K86" s="4">
        <v>2003</v>
      </c>
      <c r="M86" s="5" t="s">
        <v>2</v>
      </c>
      <c r="O86" s="4">
        <v>0.13561320754716999</v>
      </c>
      <c r="P86" s="4">
        <v>0.13561320754716999</v>
      </c>
      <c r="Q86" s="4">
        <f>(P86-P85)/P85</f>
        <v>1.6037735849056654</v>
      </c>
      <c r="R86" s="4">
        <v>39</v>
      </c>
      <c r="S86" s="3">
        <v>37926</v>
      </c>
      <c r="T86" s="2">
        <f>IF(O86&gt;0,1,0)</f>
        <v>1</v>
      </c>
    </row>
    <row r="87" spans="1:20" x14ac:dyDescent="0.2">
      <c r="A87" s="6">
        <v>86</v>
      </c>
      <c r="B87" s="3">
        <v>37934</v>
      </c>
      <c r="C87" s="4">
        <v>0.18667293755688499</v>
      </c>
      <c r="D87" s="4">
        <v>0.20984293023745201</v>
      </c>
      <c r="E87" s="4">
        <v>192</v>
      </c>
      <c r="F87" s="4">
        <v>67</v>
      </c>
      <c r="G87" s="4">
        <v>28.254348958333299</v>
      </c>
      <c r="H87" s="4">
        <v>0.34895833333333298</v>
      </c>
      <c r="I87" s="4">
        <v>0.35509138381201</v>
      </c>
      <c r="J87" s="4">
        <v>11</v>
      </c>
      <c r="K87" s="4">
        <v>2003</v>
      </c>
      <c r="M87" s="5"/>
      <c r="O87" s="4">
        <v>0.34895833333333298</v>
      </c>
      <c r="P87" s="4">
        <v>0.34895833333333298</v>
      </c>
      <c r="Q87" s="4">
        <f>(P87-P86)/P86</f>
        <v>1.5731884057970955</v>
      </c>
      <c r="R87" s="4">
        <v>40</v>
      </c>
      <c r="S87" s="3">
        <v>37934</v>
      </c>
      <c r="T87" s="2">
        <f>IF(O87&gt;0,1,0)</f>
        <v>1</v>
      </c>
    </row>
    <row r="88" spans="1:20" x14ac:dyDescent="0.2">
      <c r="A88" s="6">
        <v>87</v>
      </c>
      <c r="B88" s="3">
        <v>37942</v>
      </c>
      <c r="C88" s="4">
        <v>0.17855779216107401</v>
      </c>
      <c r="D88" s="4">
        <v>0.18159286181132001</v>
      </c>
      <c r="E88" s="4">
        <v>191.5</v>
      </c>
      <c r="F88" s="4">
        <v>68</v>
      </c>
      <c r="G88" s="4">
        <v>28.2718229166667</v>
      </c>
      <c r="H88" s="4">
        <v>0.35509138381201</v>
      </c>
      <c r="I88" s="4">
        <v>0.35412262156448199</v>
      </c>
      <c r="J88" s="4">
        <v>11</v>
      </c>
      <c r="K88" s="4">
        <v>2003</v>
      </c>
      <c r="M88" s="5"/>
      <c r="O88" s="4">
        <v>0.35509138381201</v>
      </c>
      <c r="P88" s="4">
        <v>0.35509138381201</v>
      </c>
      <c r="Q88" s="4">
        <f>(P88-P87)/P87</f>
        <v>1.7575308834417734E-2</v>
      </c>
      <c r="R88" s="4">
        <v>41</v>
      </c>
      <c r="S88" s="3">
        <v>37942</v>
      </c>
      <c r="T88" s="2">
        <f>IF(O88&gt;0,1,0)</f>
        <v>1</v>
      </c>
    </row>
    <row r="89" spans="1:20" x14ac:dyDescent="0.2">
      <c r="A89" s="6">
        <v>88</v>
      </c>
      <c r="B89" s="3">
        <v>37950</v>
      </c>
      <c r="C89" s="4">
        <v>0.190248000332051</v>
      </c>
      <c r="D89" s="4">
        <v>0.18702109406391801</v>
      </c>
      <c r="E89" s="4">
        <v>189.2</v>
      </c>
      <c r="F89" s="4">
        <v>67</v>
      </c>
      <c r="G89" s="4">
        <v>28.471484374999999</v>
      </c>
      <c r="H89" s="4">
        <v>0.35412262156448199</v>
      </c>
      <c r="I89" s="4">
        <v>0.53235908141962396</v>
      </c>
      <c r="J89" s="4">
        <v>11</v>
      </c>
      <c r="K89" s="4">
        <v>2003</v>
      </c>
      <c r="M89" s="5"/>
      <c r="O89" s="4">
        <v>0.35412262156448199</v>
      </c>
      <c r="P89" s="4">
        <v>0.35412262156448199</v>
      </c>
      <c r="Q89" s="4">
        <f>(P89-P88)/P88</f>
        <v>-2.7282054470825611E-3</v>
      </c>
      <c r="R89" s="4">
        <v>42</v>
      </c>
      <c r="S89" s="3">
        <v>37950</v>
      </c>
      <c r="T89" s="2">
        <f>IF(O89&gt;0,1,0)</f>
        <v>1</v>
      </c>
    </row>
    <row r="90" spans="1:20" x14ac:dyDescent="0.2">
      <c r="A90" s="6">
        <v>89</v>
      </c>
      <c r="B90" s="3">
        <v>37958</v>
      </c>
      <c r="C90" s="4">
        <v>0.19779518339783</v>
      </c>
      <c r="D90" s="4">
        <v>0.195502740641435</v>
      </c>
      <c r="E90" s="4">
        <v>191.6</v>
      </c>
      <c r="F90" s="4">
        <v>102</v>
      </c>
      <c r="G90" s="4">
        <v>28.826796874999999</v>
      </c>
      <c r="H90" s="4">
        <v>0.53235908141962396</v>
      </c>
      <c r="I90" s="4">
        <v>0.93229166666666696</v>
      </c>
      <c r="J90" s="4">
        <v>12</v>
      </c>
      <c r="K90" s="4">
        <v>2003</v>
      </c>
      <c r="M90" s="5" t="s">
        <v>1</v>
      </c>
      <c r="N90" s="4">
        <v>0.53235908141962396</v>
      </c>
      <c r="P90" s="4">
        <v>0.53235908141962396</v>
      </c>
      <c r="Q90" s="9">
        <f>(P90-P89)/P89</f>
        <v>0.50331848066556517</v>
      </c>
      <c r="R90" s="4">
        <v>43</v>
      </c>
      <c r="S90" s="10">
        <v>37958</v>
      </c>
      <c r="T90" s="2">
        <f>IF(N90&gt;0,1,0)</f>
        <v>1</v>
      </c>
    </row>
    <row r="91" spans="1:20" x14ac:dyDescent="0.2">
      <c r="A91" s="6">
        <v>90</v>
      </c>
      <c r="B91" s="3">
        <v>37966</v>
      </c>
      <c r="C91" s="4">
        <v>0.19103685259405101</v>
      </c>
      <c r="D91" s="4">
        <v>0.19626845667759599</v>
      </c>
      <c r="E91" s="4">
        <v>192</v>
      </c>
      <c r="F91" s="4">
        <v>179</v>
      </c>
      <c r="G91" s="4">
        <v>29.100390624999999</v>
      </c>
      <c r="H91" s="4">
        <v>0.93229166666666696</v>
      </c>
      <c r="I91" s="4">
        <v>0.77604166666666696</v>
      </c>
      <c r="J91" s="4">
        <v>12</v>
      </c>
      <c r="K91" s="4">
        <v>2003</v>
      </c>
      <c r="M91" s="5"/>
      <c r="N91" s="4">
        <v>0.93229166666666696</v>
      </c>
      <c r="P91" s="4">
        <v>0.93229166666666696</v>
      </c>
      <c r="Q91" s="4">
        <f>(P91-P90)/P90</f>
        <v>0.75124591503268112</v>
      </c>
      <c r="R91" s="4">
        <v>44</v>
      </c>
      <c r="S91" s="3">
        <v>37966</v>
      </c>
      <c r="T91" s="2">
        <f>IF(N91&gt;0,1,0)</f>
        <v>1</v>
      </c>
    </row>
    <row r="92" spans="1:20" x14ac:dyDescent="0.2">
      <c r="A92" s="6">
        <v>91</v>
      </c>
      <c r="B92" s="3">
        <v>37974</v>
      </c>
      <c r="C92" s="4">
        <v>0.18694610032770401</v>
      </c>
      <c r="D92" s="4">
        <v>0.15043570473790199</v>
      </c>
      <c r="E92" s="4">
        <v>192</v>
      </c>
      <c r="F92" s="4">
        <v>149</v>
      </c>
      <c r="G92" s="4">
        <v>28.194244791666701</v>
      </c>
      <c r="H92" s="4">
        <v>0.77604166666666696</v>
      </c>
      <c r="I92" s="4">
        <v>0.651629072681704</v>
      </c>
      <c r="J92" s="4">
        <v>12</v>
      </c>
      <c r="K92" s="4">
        <v>2003</v>
      </c>
      <c r="M92" s="5"/>
      <c r="N92" s="4">
        <v>0.77604166666666696</v>
      </c>
      <c r="P92" s="4">
        <v>0.77604166666666696</v>
      </c>
      <c r="Q92" s="4">
        <f>(P92-P91)/P91</f>
        <v>-0.16759776536312843</v>
      </c>
      <c r="R92" s="4">
        <v>45</v>
      </c>
      <c r="S92" s="3">
        <v>37974</v>
      </c>
      <c r="T92" s="2">
        <f>IF(N92&gt;0,1,0)</f>
        <v>1</v>
      </c>
    </row>
    <row r="93" spans="1:20" x14ac:dyDescent="0.2">
      <c r="A93" s="6">
        <v>92</v>
      </c>
      <c r="B93" s="3">
        <v>37982</v>
      </c>
      <c r="C93" s="4">
        <v>0.21678823274332301</v>
      </c>
      <c r="D93" s="4">
        <v>0.226607563594977</v>
      </c>
      <c r="E93" s="4">
        <v>119.7</v>
      </c>
      <c r="F93" s="4">
        <v>78</v>
      </c>
      <c r="G93" s="4">
        <v>28.099125000000001</v>
      </c>
      <c r="H93" s="4">
        <v>0.651629072681704</v>
      </c>
      <c r="I93" s="4">
        <v>1</v>
      </c>
      <c r="J93" s="4">
        <v>12</v>
      </c>
      <c r="K93" s="4">
        <v>2003</v>
      </c>
      <c r="M93" s="5"/>
      <c r="N93" s="4">
        <v>0.651629072681704</v>
      </c>
      <c r="P93" s="4">
        <v>0.651629072681704</v>
      </c>
      <c r="Q93" s="4">
        <f>(P93-P92)/P92</f>
        <v>-0.16031689963163007</v>
      </c>
      <c r="R93" s="4">
        <v>46</v>
      </c>
      <c r="S93" s="3">
        <v>37982</v>
      </c>
      <c r="T93" s="2">
        <f>IF(N93&gt;0,1,0)</f>
        <v>1</v>
      </c>
    </row>
    <row r="94" spans="1:20" x14ac:dyDescent="0.2">
      <c r="A94" s="6">
        <v>93</v>
      </c>
      <c r="B94" s="3">
        <v>37987</v>
      </c>
      <c r="C94" s="4">
        <v>0.20700651914295201</v>
      </c>
      <c r="D94" s="4">
        <v>0.23875665416320199</v>
      </c>
      <c r="E94" s="4">
        <v>191.4</v>
      </c>
      <c r="F94" s="4">
        <v>191.4</v>
      </c>
      <c r="G94" s="4">
        <v>28.655546874999999</v>
      </c>
      <c r="H94" s="4">
        <v>1</v>
      </c>
      <c r="I94" s="4">
        <v>0.99009900990098998</v>
      </c>
      <c r="J94" s="4">
        <v>1</v>
      </c>
      <c r="K94" s="4">
        <v>2004</v>
      </c>
      <c r="L94">
        <v>2004</v>
      </c>
      <c r="M94" s="5" t="s">
        <v>12</v>
      </c>
      <c r="N94" s="4">
        <v>1</v>
      </c>
      <c r="P94" s="4">
        <v>1</v>
      </c>
      <c r="Q94" s="4">
        <f>(P94-P93)/P93</f>
        <v>0.53461538461538527</v>
      </c>
      <c r="R94" s="4">
        <v>1</v>
      </c>
      <c r="S94" s="3">
        <v>37987</v>
      </c>
      <c r="T94" s="2">
        <f>IF(N94&gt;0,1,0)</f>
        <v>1</v>
      </c>
    </row>
    <row r="95" spans="1:20" x14ac:dyDescent="0.2">
      <c r="A95" s="6">
        <v>94</v>
      </c>
      <c r="B95" s="3">
        <v>37995</v>
      </c>
      <c r="C95" s="4">
        <v>0.19459091571883999</v>
      </c>
      <c r="D95" s="4">
        <v>0.19202350328366</v>
      </c>
      <c r="E95" s="4">
        <v>191.9</v>
      </c>
      <c r="F95" s="4">
        <v>190</v>
      </c>
      <c r="G95" s="4">
        <v>29.173229166666701</v>
      </c>
      <c r="H95" s="4">
        <v>0.99009900990098998</v>
      </c>
      <c r="I95" s="4">
        <v>0.95971563981042696</v>
      </c>
      <c r="J95" s="4">
        <v>1</v>
      </c>
      <c r="K95" s="4">
        <v>2004</v>
      </c>
      <c r="M95" s="5"/>
      <c r="N95" s="4">
        <v>0.99009900990098998</v>
      </c>
      <c r="P95" s="4">
        <v>0.99009900990098998</v>
      </c>
      <c r="Q95" s="4">
        <f>(P95-P94)/P94</f>
        <v>-9.9009900990100208E-3</v>
      </c>
      <c r="R95" s="4">
        <v>2</v>
      </c>
      <c r="S95" s="3">
        <v>37995</v>
      </c>
      <c r="T95" s="2">
        <f>IF(N95&gt;0,1,0)</f>
        <v>1</v>
      </c>
    </row>
    <row r="96" spans="1:20" x14ac:dyDescent="0.2">
      <c r="A96" s="6">
        <v>95</v>
      </c>
      <c r="B96" s="3">
        <v>38003</v>
      </c>
      <c r="C96" s="4">
        <v>0.185709894013902</v>
      </c>
      <c r="D96" s="4">
        <v>0.16220024973154101</v>
      </c>
      <c r="E96" s="4">
        <v>126.6</v>
      </c>
      <c r="F96" s="4">
        <v>121.5</v>
      </c>
      <c r="G96" s="4">
        <v>29.00359375</v>
      </c>
      <c r="H96" s="4">
        <v>0.95971563981042696</v>
      </c>
      <c r="I96" s="4">
        <v>0.63541666666666696</v>
      </c>
      <c r="J96" s="4">
        <v>1</v>
      </c>
      <c r="K96" s="4">
        <v>2004</v>
      </c>
      <c r="M96" s="5"/>
      <c r="N96" s="4">
        <v>0.95971563981042696</v>
      </c>
      <c r="P96" s="4">
        <v>0.95971563981042696</v>
      </c>
      <c r="Q96" s="4">
        <f>(P96-P95)/P95</f>
        <v>-3.0687203791468658E-2</v>
      </c>
      <c r="R96" s="4">
        <v>3</v>
      </c>
      <c r="S96" s="3">
        <v>38003</v>
      </c>
      <c r="T96" s="2">
        <f>IF(N96&gt;0,1,0)</f>
        <v>1</v>
      </c>
    </row>
    <row r="97" spans="1:20" x14ac:dyDescent="0.2">
      <c r="A97" s="6">
        <v>96</v>
      </c>
      <c r="B97" s="10">
        <v>38011</v>
      </c>
      <c r="C97" s="4">
        <v>0.16688026587518201</v>
      </c>
      <c r="D97" s="4">
        <v>0.15147837996482799</v>
      </c>
      <c r="E97" s="4">
        <v>192</v>
      </c>
      <c r="F97" s="4">
        <v>122</v>
      </c>
      <c r="G97" s="4">
        <v>29.0729166666667</v>
      </c>
      <c r="H97" s="4">
        <v>0.63541666666666696</v>
      </c>
      <c r="I97" s="4">
        <v>0</v>
      </c>
      <c r="J97" s="4">
        <v>1</v>
      </c>
      <c r="K97" s="4">
        <v>2004</v>
      </c>
      <c r="M97" s="5"/>
      <c r="N97" s="4">
        <v>0.63541666666666696</v>
      </c>
      <c r="P97" s="4">
        <v>0.63541666666666696</v>
      </c>
      <c r="Q97" s="4">
        <f>(P97-P96)/P96</f>
        <v>-0.33791152263374485</v>
      </c>
      <c r="R97" s="4">
        <v>4</v>
      </c>
      <c r="S97" s="10">
        <v>38011</v>
      </c>
      <c r="T97" s="2">
        <f>IF(N97&gt;0,1,0)</f>
        <v>1</v>
      </c>
    </row>
    <row r="98" spans="1:20" x14ac:dyDescent="0.2">
      <c r="A98" s="6">
        <v>97</v>
      </c>
      <c r="B98" s="3">
        <v>38019</v>
      </c>
      <c r="C98" s="4">
        <v>0.214036804637802</v>
      </c>
      <c r="D98" s="4">
        <v>0.19369170318047199</v>
      </c>
      <c r="E98" s="4">
        <v>191.9</v>
      </c>
      <c r="F98" s="4">
        <v>0</v>
      </c>
      <c r="G98" s="4">
        <v>28.695</v>
      </c>
      <c r="H98" s="4">
        <v>0</v>
      </c>
      <c r="I98" s="4">
        <v>3.6458333333333301E-2</v>
      </c>
      <c r="J98" s="4">
        <v>2</v>
      </c>
      <c r="K98" s="4">
        <v>2004</v>
      </c>
      <c r="M98" s="5" t="s">
        <v>11</v>
      </c>
      <c r="O98" s="4">
        <v>0.01</v>
      </c>
      <c r="P98" s="4">
        <v>0.01</v>
      </c>
      <c r="Q98" s="9">
        <f>(P98-P97)/P97</f>
        <v>-0.98426229508196716</v>
      </c>
      <c r="R98" s="4">
        <v>5</v>
      </c>
      <c r="S98" s="3">
        <v>38019</v>
      </c>
      <c r="T98" s="2">
        <f>IF(N98&gt;0,1,0)</f>
        <v>0</v>
      </c>
    </row>
    <row r="99" spans="1:20" x14ac:dyDescent="0.2">
      <c r="A99" s="6">
        <v>98</v>
      </c>
      <c r="B99" s="3">
        <v>38027</v>
      </c>
      <c r="C99" s="4">
        <v>0.153935200867862</v>
      </c>
      <c r="D99" s="4">
        <v>0.122022370497386</v>
      </c>
      <c r="E99" s="4">
        <v>192</v>
      </c>
      <c r="F99" s="4">
        <v>7</v>
      </c>
      <c r="G99" s="4">
        <v>28.399947916666701</v>
      </c>
      <c r="H99" s="4">
        <v>3.6458333333333301E-2</v>
      </c>
      <c r="I99" s="4">
        <v>3.64741641337386E-2</v>
      </c>
      <c r="J99" s="4">
        <v>2</v>
      </c>
      <c r="K99" s="4">
        <v>2004</v>
      </c>
      <c r="M99" s="5"/>
      <c r="O99" s="4">
        <v>3.6458333333333301E-2</v>
      </c>
      <c r="P99" s="4">
        <v>3.6458333333333301E-2</v>
      </c>
      <c r="Q99" s="4">
        <f>(P99-P98)/P98</f>
        <v>2.6458333333333299</v>
      </c>
      <c r="R99" s="4">
        <v>6</v>
      </c>
      <c r="S99" s="3">
        <v>38027</v>
      </c>
      <c r="T99" s="2">
        <f>IF(N99&gt;0,1,0)</f>
        <v>0</v>
      </c>
    </row>
    <row r="100" spans="1:20" x14ac:dyDescent="0.2">
      <c r="A100" s="6">
        <v>99</v>
      </c>
      <c r="B100" s="3">
        <v>38035</v>
      </c>
      <c r="C100" s="4">
        <v>0.184758901389109</v>
      </c>
      <c r="D100" s="4">
        <v>0.165451737741629</v>
      </c>
      <c r="E100" s="4">
        <v>164.5</v>
      </c>
      <c r="F100" s="4">
        <v>6</v>
      </c>
      <c r="G100" s="4">
        <v>28.380859375</v>
      </c>
      <c r="H100" s="4">
        <v>3.64741641337386E-2</v>
      </c>
      <c r="I100" s="4">
        <v>2.0833333333333301E-2</v>
      </c>
      <c r="J100" s="4">
        <v>2</v>
      </c>
      <c r="K100" s="4">
        <v>2004</v>
      </c>
      <c r="M100" s="5"/>
      <c r="O100" s="4">
        <v>3.64741641337386E-2</v>
      </c>
      <c r="P100" s="4">
        <v>3.64741641337386E-2</v>
      </c>
      <c r="Q100" s="4">
        <f>(P100-P99)/P99</f>
        <v>4.3421623968820138E-4</v>
      </c>
      <c r="R100" s="4">
        <v>7</v>
      </c>
      <c r="S100" s="3">
        <v>38035</v>
      </c>
      <c r="T100" s="2">
        <f>IF(N100&gt;0,1,0)</f>
        <v>0</v>
      </c>
    </row>
    <row r="101" spans="1:20" x14ac:dyDescent="0.2">
      <c r="A101" s="6">
        <v>100</v>
      </c>
      <c r="B101" s="3">
        <v>38043</v>
      </c>
      <c r="C101" s="4">
        <v>0.204385065896945</v>
      </c>
      <c r="D101" s="4">
        <v>0.187063795824846</v>
      </c>
      <c r="E101" s="4">
        <v>192</v>
      </c>
      <c r="F101" s="4">
        <v>4</v>
      </c>
      <c r="G101" s="4">
        <v>28.430052083333301</v>
      </c>
      <c r="H101" s="4">
        <v>2.0833333333333301E-2</v>
      </c>
      <c r="I101" s="4">
        <v>1.8951358180669599E-2</v>
      </c>
      <c r="J101" s="4">
        <v>2</v>
      </c>
      <c r="K101" s="4">
        <v>2004</v>
      </c>
      <c r="M101" s="5"/>
      <c r="O101" s="4">
        <v>2.0833333333333301E-2</v>
      </c>
      <c r="P101" s="4">
        <v>2.0833333333333301E-2</v>
      </c>
      <c r="Q101" s="4">
        <f>(P101-P100)/P100</f>
        <v>-0.42881944444444531</v>
      </c>
      <c r="R101" s="4">
        <v>8</v>
      </c>
      <c r="S101" s="3">
        <v>38043</v>
      </c>
      <c r="T101" s="2">
        <f>IF(N101&gt;0,1,0)</f>
        <v>0</v>
      </c>
    </row>
    <row r="102" spans="1:20" x14ac:dyDescent="0.2">
      <c r="A102" s="6">
        <v>101</v>
      </c>
      <c r="B102" s="3">
        <v>38051</v>
      </c>
      <c r="C102" s="4">
        <v>0.21416827818999701</v>
      </c>
      <c r="D102" s="4">
        <v>0.234259816507498</v>
      </c>
      <c r="E102" s="4">
        <v>158.30000000000001</v>
      </c>
      <c r="F102" s="4">
        <v>3</v>
      </c>
      <c r="G102" s="4">
        <v>28.745156250000001</v>
      </c>
      <c r="H102" s="4">
        <v>1.8951358180669599E-2</v>
      </c>
      <c r="I102" s="4">
        <v>2.6041666666666699E-2</v>
      </c>
      <c r="J102" s="4">
        <v>3</v>
      </c>
      <c r="K102" s="4">
        <v>2004</v>
      </c>
      <c r="M102" s="5" t="s">
        <v>10</v>
      </c>
      <c r="O102" s="4">
        <v>1.8951358180669599E-2</v>
      </c>
      <c r="P102" s="4">
        <v>1.8951358180669599E-2</v>
      </c>
      <c r="Q102" s="4">
        <f>(P102-P101)/P101</f>
        <v>-9.0334807327857841E-2</v>
      </c>
      <c r="R102" s="4">
        <v>9</v>
      </c>
      <c r="S102" s="3">
        <v>38051</v>
      </c>
      <c r="T102" s="2">
        <f>IF(N102&gt;0,1,0)</f>
        <v>0</v>
      </c>
    </row>
    <row r="103" spans="1:20" x14ac:dyDescent="0.2">
      <c r="A103" s="6">
        <v>102</v>
      </c>
      <c r="B103" s="3">
        <v>38059</v>
      </c>
      <c r="C103" s="4">
        <v>0.18991771081669501</v>
      </c>
      <c r="D103" s="4">
        <v>0.18266290922959599</v>
      </c>
      <c r="E103" s="4">
        <v>192</v>
      </c>
      <c r="F103" s="4">
        <v>5</v>
      </c>
      <c r="G103" s="4">
        <v>28.583697916666701</v>
      </c>
      <c r="H103" s="4">
        <v>2.6041666666666699E-2</v>
      </c>
      <c r="I103" s="4">
        <v>0</v>
      </c>
      <c r="J103" s="4">
        <v>3</v>
      </c>
      <c r="K103" s="4">
        <v>2004</v>
      </c>
      <c r="M103" s="5"/>
      <c r="O103" s="4">
        <v>2.6041666666666699E-2</v>
      </c>
      <c r="P103" s="4">
        <v>2.6041666666666699E-2</v>
      </c>
      <c r="Q103" s="4">
        <f>(P103-P102)/P102</f>
        <v>0.37413194444444731</v>
      </c>
      <c r="R103" s="4">
        <v>10</v>
      </c>
      <c r="S103" s="3">
        <v>38059</v>
      </c>
      <c r="T103" s="2">
        <f>IF(N103&gt;0,1,0)</f>
        <v>0</v>
      </c>
    </row>
    <row r="104" spans="1:20" x14ac:dyDescent="0.2">
      <c r="A104" s="6">
        <v>103</v>
      </c>
      <c r="B104" s="3">
        <v>38067</v>
      </c>
      <c r="C104" s="4">
        <v>0.17476416461997599</v>
      </c>
      <c r="D104" s="4">
        <v>0.161244012415409</v>
      </c>
      <c r="E104" s="4">
        <v>192</v>
      </c>
      <c r="F104" s="4">
        <v>0</v>
      </c>
      <c r="G104" s="4">
        <v>29.108125000000001</v>
      </c>
      <c r="H104" s="4">
        <v>0</v>
      </c>
      <c r="I104" s="4">
        <v>2.6041666666666699E-2</v>
      </c>
      <c r="J104" s="4">
        <v>3</v>
      </c>
      <c r="K104" s="4">
        <v>2004</v>
      </c>
      <c r="M104" s="5"/>
      <c r="O104" s="4">
        <v>0.01</v>
      </c>
      <c r="P104" s="4">
        <v>0.01</v>
      </c>
      <c r="Q104" s="4">
        <f>(P104-P103)/P103</f>
        <v>-0.61600000000000044</v>
      </c>
      <c r="R104" s="4">
        <v>11</v>
      </c>
      <c r="S104" s="3">
        <v>38067</v>
      </c>
      <c r="T104" s="2">
        <f>IF(N104&gt;0,1,0)</f>
        <v>0</v>
      </c>
    </row>
    <row r="105" spans="1:20" x14ac:dyDescent="0.2">
      <c r="A105" s="6">
        <v>104</v>
      </c>
      <c r="B105" s="3">
        <v>38075</v>
      </c>
      <c r="C105" s="4">
        <v>0.14653243636712401</v>
      </c>
      <c r="D105" s="4">
        <v>0.14209381987651201</v>
      </c>
      <c r="E105" s="4">
        <v>192</v>
      </c>
      <c r="F105" s="4">
        <v>5</v>
      </c>
      <c r="G105" s="4">
        <v>29.474244791666599</v>
      </c>
      <c r="H105" s="4">
        <v>2.6041666666666699E-2</v>
      </c>
      <c r="I105" s="4">
        <v>5.2083333333333296E-3</v>
      </c>
      <c r="J105" s="4">
        <v>3</v>
      </c>
      <c r="K105" s="4">
        <v>2004</v>
      </c>
      <c r="M105" s="5"/>
      <c r="O105" s="4">
        <v>2.6041666666666699E-2</v>
      </c>
      <c r="P105" s="4">
        <v>2.6041666666666699E-2</v>
      </c>
      <c r="Q105" s="4">
        <f>(P105-P104)/P104</f>
        <v>1.6041666666666696</v>
      </c>
      <c r="R105" s="4">
        <v>12</v>
      </c>
      <c r="S105" s="3">
        <v>38075</v>
      </c>
      <c r="T105" s="2">
        <f>IF(N105&gt;0,1,0)</f>
        <v>0</v>
      </c>
    </row>
    <row r="106" spans="1:20" x14ac:dyDescent="0.2">
      <c r="A106" s="6">
        <v>105</v>
      </c>
      <c r="B106" s="3">
        <v>38083</v>
      </c>
      <c r="C106" s="4">
        <v>0.14545723469927899</v>
      </c>
      <c r="D106" s="4">
        <v>0.133940863112609</v>
      </c>
      <c r="E106" s="4">
        <v>192</v>
      </c>
      <c r="F106" s="4">
        <v>1</v>
      </c>
      <c r="G106" s="4">
        <v>29.8118489583333</v>
      </c>
      <c r="H106" s="4">
        <v>5.2083333333333296E-3</v>
      </c>
      <c r="I106" s="4">
        <v>0</v>
      </c>
      <c r="J106" s="4">
        <v>4</v>
      </c>
      <c r="K106" s="4">
        <v>2004</v>
      </c>
      <c r="M106" s="5" t="s">
        <v>9</v>
      </c>
      <c r="O106" s="4">
        <v>5.2083333333333296E-3</v>
      </c>
      <c r="P106" s="4">
        <v>5.2083333333333296E-3</v>
      </c>
      <c r="Q106" s="4">
        <f>(P106-P105)/P105</f>
        <v>-0.80000000000000038</v>
      </c>
      <c r="R106" s="4">
        <v>13</v>
      </c>
      <c r="S106" s="3">
        <v>38083</v>
      </c>
      <c r="T106" s="2">
        <f>IF(N106&gt;0,1,0)</f>
        <v>0</v>
      </c>
    </row>
    <row r="107" spans="1:20" x14ac:dyDescent="0.2">
      <c r="A107" s="6">
        <v>106</v>
      </c>
      <c r="B107" s="3">
        <v>38091</v>
      </c>
      <c r="C107" s="4">
        <v>0.13400810630992099</v>
      </c>
      <c r="D107" s="4">
        <v>0.12929007659355801</v>
      </c>
      <c r="E107" s="4">
        <v>187.2</v>
      </c>
      <c r="F107" s="4">
        <v>0</v>
      </c>
      <c r="G107" s="4">
        <v>29.9096614583333</v>
      </c>
      <c r="H107" s="4">
        <v>0</v>
      </c>
      <c r="I107" s="4">
        <v>0</v>
      </c>
      <c r="J107" s="4">
        <v>4</v>
      </c>
      <c r="K107" s="4">
        <v>2004</v>
      </c>
      <c r="M107" s="5"/>
      <c r="O107" s="4">
        <v>0.01</v>
      </c>
      <c r="P107" s="4">
        <v>0.01</v>
      </c>
      <c r="Q107" s="4">
        <f>(P107-P106)/P106</f>
        <v>0.92000000000000137</v>
      </c>
      <c r="R107" s="4">
        <v>14</v>
      </c>
      <c r="S107" s="3">
        <v>38091</v>
      </c>
      <c r="T107" s="2">
        <f>IF(N107&gt;0,1,0)</f>
        <v>0</v>
      </c>
    </row>
    <row r="108" spans="1:20" x14ac:dyDescent="0.2">
      <c r="A108" s="6">
        <v>107</v>
      </c>
      <c r="B108" s="3">
        <v>38099</v>
      </c>
      <c r="C108" s="4">
        <v>0.14684701648851201</v>
      </c>
      <c r="D108" s="4">
        <v>0.14317490408817901</v>
      </c>
      <c r="E108" s="4">
        <v>191.3</v>
      </c>
      <c r="F108" s="4">
        <v>0</v>
      </c>
      <c r="G108" s="4">
        <v>29.448463541666701</v>
      </c>
      <c r="H108" s="4">
        <v>0</v>
      </c>
      <c r="I108" s="4">
        <v>0</v>
      </c>
      <c r="J108" s="4">
        <v>4</v>
      </c>
      <c r="K108" s="4">
        <v>2004</v>
      </c>
      <c r="M108" s="5"/>
      <c r="O108" s="4">
        <v>0.01</v>
      </c>
      <c r="P108" s="4">
        <v>0.01</v>
      </c>
      <c r="Q108" s="4">
        <f>(P108-P107)/P107</f>
        <v>0</v>
      </c>
      <c r="R108" s="4">
        <v>15</v>
      </c>
      <c r="S108" s="3">
        <v>38099</v>
      </c>
      <c r="T108" s="2">
        <f>IF(N108&gt;0,1,0)</f>
        <v>0</v>
      </c>
    </row>
    <row r="109" spans="1:20" x14ac:dyDescent="0.2">
      <c r="A109" s="6">
        <v>108</v>
      </c>
      <c r="B109" s="3">
        <v>38107</v>
      </c>
      <c r="C109" s="4">
        <v>0.13053975273159499</v>
      </c>
      <c r="D109" s="4">
        <v>0.130007815857728</v>
      </c>
      <c r="E109" s="4">
        <v>191.9</v>
      </c>
      <c r="F109" s="4">
        <v>0</v>
      </c>
      <c r="G109" s="4">
        <v>28.140572916666699</v>
      </c>
      <c r="H109" s="4">
        <v>0</v>
      </c>
      <c r="I109" s="4">
        <v>0</v>
      </c>
      <c r="J109" s="4">
        <v>4</v>
      </c>
      <c r="K109" s="4">
        <v>2004</v>
      </c>
      <c r="M109" s="5" t="s">
        <v>8</v>
      </c>
      <c r="O109" s="4">
        <v>0.01</v>
      </c>
      <c r="P109" s="4">
        <v>0.01</v>
      </c>
      <c r="Q109" s="4">
        <f>(P109-P108)/P108</f>
        <v>0</v>
      </c>
      <c r="R109" s="4">
        <v>16</v>
      </c>
      <c r="S109" s="3">
        <v>38107</v>
      </c>
      <c r="T109" s="2">
        <f>IF(N109&gt;0,1,0)</f>
        <v>0</v>
      </c>
    </row>
    <row r="110" spans="1:20" x14ac:dyDescent="0.2">
      <c r="A110" s="6">
        <v>109</v>
      </c>
      <c r="B110" s="3">
        <v>38115</v>
      </c>
      <c r="C110" s="4">
        <v>0.206301444830994</v>
      </c>
      <c r="D110" s="4">
        <v>0.187061314781507</v>
      </c>
      <c r="E110" s="4">
        <v>192</v>
      </c>
      <c r="F110" s="4">
        <v>0</v>
      </c>
      <c r="G110" s="4">
        <v>27.8382291666667</v>
      </c>
      <c r="H110" s="4">
        <v>0</v>
      </c>
      <c r="I110" s="4">
        <v>5.2083333333333296E-3</v>
      </c>
      <c r="J110" s="4">
        <v>5</v>
      </c>
      <c r="K110" s="4">
        <v>2004</v>
      </c>
      <c r="M110" s="5"/>
      <c r="O110" s="4">
        <v>0.01</v>
      </c>
      <c r="P110" s="4">
        <v>0.01</v>
      </c>
      <c r="Q110" s="4">
        <f>(P110-P109)/P109</f>
        <v>0</v>
      </c>
      <c r="R110" s="4">
        <v>17</v>
      </c>
      <c r="S110" s="3">
        <v>38115</v>
      </c>
      <c r="T110" s="2">
        <f>IF(N110&gt;0,1,0)</f>
        <v>0</v>
      </c>
    </row>
    <row r="111" spans="1:20" x14ac:dyDescent="0.2">
      <c r="A111" s="6">
        <v>110</v>
      </c>
      <c r="B111" s="3">
        <v>38123</v>
      </c>
      <c r="C111" s="4">
        <v>0.19671991146687001</v>
      </c>
      <c r="D111" s="4">
        <v>0.179927075902621</v>
      </c>
      <c r="E111" s="4">
        <v>192</v>
      </c>
      <c r="F111" s="4">
        <v>1</v>
      </c>
      <c r="G111" s="4">
        <v>27.986276041666699</v>
      </c>
      <c r="H111" s="4">
        <v>5.2083333333333296E-3</v>
      </c>
      <c r="I111" s="4">
        <v>5.2083333333333296E-3</v>
      </c>
      <c r="J111" s="4">
        <v>5</v>
      </c>
      <c r="K111" s="4">
        <v>2004</v>
      </c>
      <c r="M111" s="5"/>
      <c r="O111" s="4">
        <v>5.2083333333333296E-3</v>
      </c>
      <c r="P111" s="4">
        <v>5.2083333333333296E-3</v>
      </c>
      <c r="Q111" s="4">
        <f>(P111-P110)/P110</f>
        <v>-0.47916666666666707</v>
      </c>
      <c r="R111" s="4">
        <v>18</v>
      </c>
      <c r="S111" s="3">
        <v>38123</v>
      </c>
      <c r="T111" s="2">
        <f>IF(N111&gt;0,1,0)</f>
        <v>0</v>
      </c>
    </row>
    <row r="112" spans="1:20" x14ac:dyDescent="0.2">
      <c r="A112" s="6">
        <v>111</v>
      </c>
      <c r="B112" s="3">
        <v>38131</v>
      </c>
      <c r="C112" s="4">
        <v>0.177449466350178</v>
      </c>
      <c r="D112" s="4">
        <v>0.17614496250947301</v>
      </c>
      <c r="E112" s="4">
        <v>192</v>
      </c>
      <c r="F112" s="4">
        <v>1</v>
      </c>
      <c r="G112" s="4">
        <v>28.271770833333299</v>
      </c>
      <c r="H112" s="4">
        <v>5.2083333333333296E-3</v>
      </c>
      <c r="I112" s="4">
        <v>0</v>
      </c>
      <c r="J112" s="4">
        <v>5</v>
      </c>
      <c r="K112" s="4">
        <v>2004</v>
      </c>
      <c r="M112" s="5"/>
      <c r="O112" s="4">
        <v>5.2083333333333296E-3</v>
      </c>
      <c r="P112" s="4">
        <v>5.2083333333333296E-3</v>
      </c>
      <c r="Q112" s="4">
        <f>(P112-P111)/P111</f>
        <v>0</v>
      </c>
      <c r="R112" s="4">
        <v>19</v>
      </c>
      <c r="S112" s="3">
        <v>38131</v>
      </c>
      <c r="T112" s="2">
        <f>IF(N112&gt;0,1,0)</f>
        <v>0</v>
      </c>
    </row>
    <row r="113" spans="1:20" x14ac:dyDescent="0.2">
      <c r="A113" s="6">
        <v>112</v>
      </c>
      <c r="B113" s="3">
        <v>38139</v>
      </c>
      <c r="C113" s="4">
        <v>0.19671853931827701</v>
      </c>
      <c r="D113" s="4">
        <v>0.17870837698380199</v>
      </c>
      <c r="E113" s="4">
        <v>192</v>
      </c>
      <c r="F113" s="4">
        <v>0</v>
      </c>
      <c r="G113" s="4">
        <v>27.786822916666701</v>
      </c>
      <c r="H113" s="4">
        <v>0</v>
      </c>
      <c r="I113" s="4">
        <v>1.0416666666666701E-2</v>
      </c>
      <c r="J113" s="4">
        <v>6</v>
      </c>
      <c r="K113" s="4">
        <v>2004</v>
      </c>
      <c r="M113" s="5" t="s">
        <v>7</v>
      </c>
      <c r="O113" s="4">
        <v>0.01</v>
      </c>
      <c r="P113" s="4">
        <v>0.01</v>
      </c>
      <c r="Q113" s="4">
        <f>(P113-P112)/P112</f>
        <v>0.92000000000000137</v>
      </c>
      <c r="R113" s="4">
        <v>20</v>
      </c>
      <c r="S113" s="3">
        <v>38139</v>
      </c>
      <c r="T113" s="2">
        <f>IF(N113&gt;0,1,0)</f>
        <v>0</v>
      </c>
    </row>
    <row r="114" spans="1:20" x14ac:dyDescent="0.2">
      <c r="A114" s="6">
        <v>113</v>
      </c>
      <c r="B114" s="3">
        <v>38147</v>
      </c>
      <c r="C114" s="4">
        <v>0.24253063664791399</v>
      </c>
      <c r="D114" s="4">
        <v>0.213242625196775</v>
      </c>
      <c r="E114" s="4">
        <v>192</v>
      </c>
      <c r="F114" s="4">
        <v>2</v>
      </c>
      <c r="G114" s="4">
        <v>27.243437499999999</v>
      </c>
      <c r="H114" s="4">
        <v>1.0416666666666701E-2</v>
      </c>
      <c r="I114" s="4">
        <v>0</v>
      </c>
      <c r="J114" s="4">
        <v>6</v>
      </c>
      <c r="K114" s="4">
        <v>2004</v>
      </c>
      <c r="M114" s="5"/>
      <c r="O114" s="4">
        <v>1.0416666666666701E-2</v>
      </c>
      <c r="P114" s="4">
        <v>1.0416666666666701E-2</v>
      </c>
      <c r="Q114" s="4">
        <f>(P114-P113)/P113</f>
        <v>4.1666666666670057E-2</v>
      </c>
      <c r="R114" s="4">
        <v>21</v>
      </c>
      <c r="S114" s="3">
        <v>38147</v>
      </c>
      <c r="T114" s="2">
        <f>IF(N114&gt;0,1,0)</f>
        <v>0</v>
      </c>
    </row>
    <row r="115" spans="1:20" x14ac:dyDescent="0.2">
      <c r="A115" s="6">
        <v>114</v>
      </c>
      <c r="B115" s="3">
        <v>38155</v>
      </c>
      <c r="C115" s="4">
        <v>0.25097490062839101</v>
      </c>
      <c r="D115" s="4">
        <v>0.170910795529683</v>
      </c>
      <c r="E115" s="4">
        <v>191.8</v>
      </c>
      <c r="F115" s="4">
        <v>0</v>
      </c>
      <c r="G115" s="4">
        <v>27.0535416666667</v>
      </c>
      <c r="H115" s="4">
        <v>0</v>
      </c>
      <c r="I115" s="4">
        <v>0</v>
      </c>
      <c r="J115" s="4">
        <v>6</v>
      </c>
      <c r="K115" s="4">
        <v>2004</v>
      </c>
      <c r="M115" s="5"/>
      <c r="O115" s="4">
        <v>0.01</v>
      </c>
      <c r="P115" s="4">
        <v>0.01</v>
      </c>
      <c r="Q115" s="4">
        <f>(P115-P114)/P114</f>
        <v>-4.0000000000003123E-2</v>
      </c>
      <c r="R115" s="4">
        <v>22</v>
      </c>
      <c r="S115" s="3">
        <v>38155</v>
      </c>
      <c r="T115" s="2">
        <f>IF(N115&gt;0,1,0)</f>
        <v>0</v>
      </c>
    </row>
    <row r="116" spans="1:20" x14ac:dyDescent="0.2">
      <c r="A116" s="6">
        <v>115</v>
      </c>
      <c r="B116" s="3">
        <v>38163</v>
      </c>
      <c r="C116" s="4">
        <v>0.17599109896562201</v>
      </c>
      <c r="D116" s="4">
        <v>0.15928392360607799</v>
      </c>
      <c r="E116" s="4">
        <v>192</v>
      </c>
      <c r="F116" s="4">
        <v>0</v>
      </c>
      <c r="G116" s="4">
        <v>26.838750000000001</v>
      </c>
      <c r="H116" s="4">
        <v>0</v>
      </c>
      <c r="I116" s="4">
        <v>0</v>
      </c>
      <c r="J116" s="4">
        <v>6</v>
      </c>
      <c r="K116" s="4">
        <v>2004</v>
      </c>
      <c r="M116" s="5"/>
      <c r="O116" s="4">
        <v>0.01</v>
      </c>
      <c r="P116" s="4">
        <v>0.01</v>
      </c>
      <c r="Q116" s="4">
        <f>(P116-P115)/P115</f>
        <v>0</v>
      </c>
      <c r="R116" s="4">
        <v>23</v>
      </c>
      <c r="S116" s="3">
        <v>38163</v>
      </c>
      <c r="T116" s="2">
        <f>IF(N116&gt;0,1,0)</f>
        <v>0</v>
      </c>
    </row>
    <row r="117" spans="1:20" x14ac:dyDescent="0.2">
      <c r="A117" s="6">
        <v>116</v>
      </c>
      <c r="B117" s="3">
        <v>38171</v>
      </c>
      <c r="C117" s="4">
        <v>0.16868204250931701</v>
      </c>
      <c r="D117" s="4">
        <v>0.133816325416168</v>
      </c>
      <c r="E117" s="4">
        <v>166.3</v>
      </c>
      <c r="F117" s="4">
        <v>0</v>
      </c>
      <c r="G117" s="4">
        <v>27.243828125</v>
      </c>
      <c r="H117" s="4">
        <v>0</v>
      </c>
      <c r="I117" s="4" t="s">
        <v>0</v>
      </c>
      <c r="J117" s="4">
        <v>7</v>
      </c>
      <c r="K117" s="4">
        <v>2004</v>
      </c>
      <c r="M117" s="5" t="s">
        <v>6</v>
      </c>
      <c r="O117" s="4">
        <v>0.01</v>
      </c>
      <c r="P117" s="4">
        <v>0.01</v>
      </c>
      <c r="Q117" s="4">
        <f>(P117-P116)/P116</f>
        <v>0</v>
      </c>
      <c r="R117" s="4">
        <v>24</v>
      </c>
      <c r="S117" s="3">
        <v>38171</v>
      </c>
      <c r="T117" s="2">
        <f>IF(N117&gt;0,1,0)</f>
        <v>0</v>
      </c>
    </row>
    <row r="118" spans="1:20" x14ac:dyDescent="0.2">
      <c r="A118" s="6">
        <v>117</v>
      </c>
      <c r="B118" s="3">
        <v>38179</v>
      </c>
      <c r="C118" s="4">
        <v>0.15002760337665699</v>
      </c>
      <c r="D118" s="4">
        <v>0.138154608507951</v>
      </c>
      <c r="E118" s="4">
        <v>73.7</v>
      </c>
      <c r="F118" s="4">
        <v>1</v>
      </c>
      <c r="G118" s="4">
        <v>27.594114583333301</v>
      </c>
      <c r="H118" s="4" t="s">
        <v>0</v>
      </c>
      <c r="I118" s="4" t="s">
        <v>0</v>
      </c>
      <c r="J118" s="4">
        <v>7</v>
      </c>
      <c r="K118" s="4">
        <v>2004</v>
      </c>
      <c r="M118" s="5"/>
      <c r="O118" s="4">
        <v>0</v>
      </c>
      <c r="P118" s="4">
        <v>0</v>
      </c>
      <c r="Q118" s="4">
        <f>(P118-P117)/P117</f>
        <v>-1</v>
      </c>
      <c r="R118" s="4">
        <v>25</v>
      </c>
      <c r="S118" s="3">
        <v>38179</v>
      </c>
      <c r="T118" s="2">
        <f>IF(N118&gt;0,1,0)</f>
        <v>0</v>
      </c>
    </row>
    <row r="119" spans="1:20" x14ac:dyDescent="0.2">
      <c r="A119" s="6">
        <v>118</v>
      </c>
      <c r="B119" s="3">
        <v>38187</v>
      </c>
      <c r="C119" s="4">
        <v>0.15891744791389401</v>
      </c>
      <c r="D119" s="4">
        <v>0.14466735720634499</v>
      </c>
      <c r="E119" s="4">
        <v>0</v>
      </c>
      <c r="F119" s="4">
        <v>0</v>
      </c>
      <c r="G119" s="4">
        <v>27.6586979166667</v>
      </c>
      <c r="H119" s="4" t="s">
        <v>0</v>
      </c>
      <c r="I119" s="4" t="s">
        <v>0</v>
      </c>
      <c r="J119" s="4">
        <v>7</v>
      </c>
      <c r="K119" s="4">
        <v>2004</v>
      </c>
      <c r="M119" s="5"/>
      <c r="O119" s="4">
        <v>0</v>
      </c>
      <c r="P119" s="4">
        <v>0</v>
      </c>
      <c r="Q119" s="4" t="e">
        <f>(P119-P118)/P118</f>
        <v>#DIV/0!</v>
      </c>
      <c r="R119" s="4">
        <v>26</v>
      </c>
      <c r="S119" s="3">
        <v>38187</v>
      </c>
      <c r="T119" s="2">
        <f>IF(N119&gt;0,1,0)</f>
        <v>0</v>
      </c>
    </row>
    <row r="120" spans="1:20" x14ac:dyDescent="0.2">
      <c r="A120" s="6">
        <v>119</v>
      </c>
      <c r="B120" s="3">
        <v>38195</v>
      </c>
      <c r="C120" s="4">
        <v>0.15353070779775199</v>
      </c>
      <c r="D120" s="4">
        <v>0.136166326701641</v>
      </c>
      <c r="E120" s="4">
        <v>0</v>
      </c>
      <c r="F120" s="4">
        <v>0</v>
      </c>
      <c r="G120" s="4">
        <v>27.376484375</v>
      </c>
      <c r="H120" s="4" t="s">
        <v>0</v>
      </c>
      <c r="I120" s="4" t="s">
        <v>0</v>
      </c>
      <c r="J120" s="4">
        <v>7</v>
      </c>
      <c r="K120" s="4">
        <v>2004</v>
      </c>
      <c r="M120" s="5"/>
      <c r="O120" s="4">
        <v>0</v>
      </c>
      <c r="P120" s="4">
        <v>0</v>
      </c>
      <c r="Q120" s="4" t="e">
        <f>(P120-P119)/P119</f>
        <v>#DIV/0!</v>
      </c>
      <c r="R120" s="4">
        <v>27</v>
      </c>
      <c r="S120" s="3">
        <v>38195</v>
      </c>
      <c r="T120" s="2">
        <f>IF(N120&gt;0,1,0)</f>
        <v>0</v>
      </c>
    </row>
    <row r="121" spans="1:20" x14ac:dyDescent="0.2">
      <c r="A121" s="6">
        <v>120</v>
      </c>
      <c r="B121" s="3">
        <v>38203</v>
      </c>
      <c r="C121" s="4">
        <v>0.17759155403032401</v>
      </c>
      <c r="D121" s="4">
        <v>0.150680847465992</v>
      </c>
      <c r="E121" s="4">
        <v>0</v>
      </c>
      <c r="F121" s="4">
        <v>0</v>
      </c>
      <c r="G121" s="4">
        <v>27.136354166666699</v>
      </c>
      <c r="H121" s="4" t="s">
        <v>0</v>
      </c>
      <c r="I121" s="4" t="s">
        <v>0</v>
      </c>
      <c r="J121" s="4">
        <v>8</v>
      </c>
      <c r="K121" s="4">
        <v>2004</v>
      </c>
      <c r="M121" s="5" t="s">
        <v>5</v>
      </c>
      <c r="O121" s="4">
        <v>0</v>
      </c>
      <c r="P121" s="4">
        <v>0</v>
      </c>
      <c r="Q121" s="4" t="e">
        <f>(P121-P120)/P120</f>
        <v>#DIV/0!</v>
      </c>
      <c r="R121" s="4">
        <v>28</v>
      </c>
      <c r="S121" s="3">
        <v>38203</v>
      </c>
      <c r="T121" s="2">
        <f>IF(N121&gt;0,1,0)</f>
        <v>0</v>
      </c>
    </row>
    <row r="122" spans="1:20" x14ac:dyDescent="0.2">
      <c r="A122" s="6">
        <v>121</v>
      </c>
      <c r="B122" s="3">
        <v>38211</v>
      </c>
      <c r="C122" s="4">
        <v>0.24298873449917199</v>
      </c>
      <c r="D122" s="4">
        <v>0.24865529189507199</v>
      </c>
      <c r="E122" s="4">
        <v>0</v>
      </c>
      <c r="F122" s="4">
        <v>0</v>
      </c>
      <c r="G122" s="4">
        <v>26.805052083333301</v>
      </c>
      <c r="H122" s="4" t="s">
        <v>0</v>
      </c>
      <c r="I122" s="4" t="s">
        <v>0</v>
      </c>
      <c r="J122" s="4">
        <v>8</v>
      </c>
      <c r="K122" s="4">
        <v>2004</v>
      </c>
      <c r="M122" s="5"/>
      <c r="O122" s="4">
        <v>0</v>
      </c>
      <c r="P122" s="4">
        <v>0</v>
      </c>
      <c r="Q122" s="4" t="e">
        <f>(P122-P121)/P121</f>
        <v>#DIV/0!</v>
      </c>
      <c r="R122" s="4">
        <v>29</v>
      </c>
      <c r="S122" s="3">
        <v>38211</v>
      </c>
      <c r="T122" s="2">
        <f>IF(N122&gt;0,1,0)</f>
        <v>0</v>
      </c>
    </row>
    <row r="123" spans="1:20" x14ac:dyDescent="0.2">
      <c r="A123" s="6">
        <v>122</v>
      </c>
      <c r="B123" s="3">
        <v>38219</v>
      </c>
      <c r="C123" s="4">
        <v>0.21404038809446799</v>
      </c>
      <c r="D123" s="4">
        <v>0.20127832641204199</v>
      </c>
      <c r="E123" s="4">
        <v>0</v>
      </c>
      <c r="F123" s="4">
        <v>0</v>
      </c>
      <c r="G123" s="4">
        <v>26.7604166666667</v>
      </c>
      <c r="H123" s="4" t="s">
        <v>0</v>
      </c>
      <c r="I123" s="4" t="s">
        <v>0</v>
      </c>
      <c r="J123" s="4">
        <v>8</v>
      </c>
      <c r="K123" s="4">
        <v>2004</v>
      </c>
      <c r="M123" s="5"/>
      <c r="O123" s="4">
        <v>0</v>
      </c>
      <c r="P123" s="4">
        <v>0</v>
      </c>
      <c r="Q123" s="4" t="e">
        <f>(P123-P122)/P122</f>
        <v>#DIV/0!</v>
      </c>
      <c r="R123" s="4">
        <v>30</v>
      </c>
      <c r="S123" s="3">
        <v>38219</v>
      </c>
      <c r="T123" s="2">
        <f>IF(N123&gt;0,1,0)</f>
        <v>0</v>
      </c>
    </row>
    <row r="124" spans="1:20" x14ac:dyDescent="0.2">
      <c r="A124" s="6">
        <v>123</v>
      </c>
      <c r="B124" s="3">
        <v>38227</v>
      </c>
      <c r="C124" s="4">
        <v>0.249619208897154</v>
      </c>
      <c r="D124" s="4">
        <v>0.29451214770475997</v>
      </c>
      <c r="E124" s="4">
        <v>0</v>
      </c>
      <c r="F124" s="4">
        <v>0</v>
      </c>
      <c r="G124" s="4">
        <v>26.518255208333301</v>
      </c>
      <c r="H124" s="4" t="s">
        <v>0</v>
      </c>
      <c r="I124" s="4" t="s">
        <v>0</v>
      </c>
      <c r="J124" s="4">
        <v>8</v>
      </c>
      <c r="K124" s="4">
        <v>2004</v>
      </c>
      <c r="M124" s="5"/>
      <c r="O124" s="4">
        <v>0</v>
      </c>
      <c r="P124" s="4">
        <v>0</v>
      </c>
      <c r="Q124" s="4" t="e">
        <f>(P124-P123)/P123</f>
        <v>#DIV/0!</v>
      </c>
      <c r="R124" s="4">
        <v>31</v>
      </c>
      <c r="S124" s="3">
        <v>38227</v>
      </c>
      <c r="T124" s="2">
        <f>IF(N124&gt;0,1,0)</f>
        <v>0</v>
      </c>
    </row>
    <row r="125" spans="1:20" x14ac:dyDescent="0.2">
      <c r="A125" s="6">
        <v>124</v>
      </c>
      <c r="B125" s="3">
        <v>38235</v>
      </c>
      <c r="C125" s="4">
        <v>0.25748426531042401</v>
      </c>
      <c r="D125" s="4">
        <v>0.28402343889077503</v>
      </c>
      <c r="E125" s="4">
        <v>0</v>
      </c>
      <c r="F125" s="4">
        <v>0</v>
      </c>
      <c r="G125" s="4">
        <v>26.754635416666702</v>
      </c>
      <c r="H125" s="4" t="s">
        <v>0</v>
      </c>
      <c r="I125" s="4" t="s">
        <v>0</v>
      </c>
      <c r="J125" s="4">
        <v>9</v>
      </c>
      <c r="K125" s="4">
        <v>2004</v>
      </c>
      <c r="M125" s="5" t="s">
        <v>4</v>
      </c>
      <c r="O125" s="4">
        <v>0</v>
      </c>
      <c r="P125" s="4">
        <v>0</v>
      </c>
      <c r="Q125" s="4" t="e">
        <f>(P125-P124)/P124</f>
        <v>#DIV/0!</v>
      </c>
      <c r="R125" s="4">
        <v>32</v>
      </c>
      <c r="S125" s="3">
        <v>38235</v>
      </c>
      <c r="T125" s="2">
        <f>IF(N125&gt;0,1,0)</f>
        <v>0</v>
      </c>
    </row>
    <row r="126" spans="1:20" x14ac:dyDescent="0.2">
      <c r="A126" s="6">
        <v>125</v>
      </c>
      <c r="B126" s="3">
        <v>38243</v>
      </c>
      <c r="C126" s="4">
        <v>0.185562710224212</v>
      </c>
      <c r="D126" s="4">
        <v>0.14883267382780699</v>
      </c>
      <c r="E126" s="4">
        <v>37.700000000000003</v>
      </c>
      <c r="F126" s="4">
        <v>16</v>
      </c>
      <c r="G126" s="4">
        <v>27.252994791666701</v>
      </c>
      <c r="H126" s="4" t="s">
        <v>0</v>
      </c>
      <c r="I126" s="4">
        <v>0.22916666666666699</v>
      </c>
      <c r="J126" s="4">
        <v>9</v>
      </c>
      <c r="K126" s="4">
        <v>2004</v>
      </c>
      <c r="M126" s="5"/>
      <c r="O126" s="4">
        <v>0</v>
      </c>
      <c r="P126" s="4">
        <v>0</v>
      </c>
      <c r="Q126" s="4" t="e">
        <f>(P126-P125)/P125</f>
        <v>#DIV/0!</v>
      </c>
      <c r="R126" s="4">
        <v>33</v>
      </c>
      <c r="S126" s="3">
        <v>38243</v>
      </c>
      <c r="T126" s="2">
        <f>IF(N126&gt;0,1,0)</f>
        <v>0</v>
      </c>
    </row>
    <row r="127" spans="1:20" x14ac:dyDescent="0.2">
      <c r="A127" s="6">
        <v>126</v>
      </c>
      <c r="B127" s="3">
        <v>38251</v>
      </c>
      <c r="C127" s="4">
        <v>0.151533716338144</v>
      </c>
      <c r="D127" s="4">
        <v>0.137729187806447</v>
      </c>
      <c r="E127" s="4">
        <v>192</v>
      </c>
      <c r="F127" s="4">
        <v>44</v>
      </c>
      <c r="G127" s="4">
        <v>27.8154427083333</v>
      </c>
      <c r="H127" s="4">
        <v>0.22916666666666699</v>
      </c>
      <c r="I127" s="4">
        <v>0</v>
      </c>
      <c r="J127" s="4">
        <v>9</v>
      </c>
      <c r="K127" s="4">
        <v>2004</v>
      </c>
      <c r="M127" s="5"/>
      <c r="O127" s="4">
        <v>0.22916666666666699</v>
      </c>
      <c r="P127" s="4">
        <v>0.22916666666666699</v>
      </c>
      <c r="Q127" s="4" t="e">
        <f>(P127-P126)/P126</f>
        <v>#DIV/0!</v>
      </c>
      <c r="R127" s="4">
        <v>34</v>
      </c>
      <c r="S127" s="3">
        <v>38251</v>
      </c>
      <c r="T127" s="2">
        <f>IF(N127&gt;0,1,0)</f>
        <v>0</v>
      </c>
    </row>
    <row r="128" spans="1:20" x14ac:dyDescent="0.2">
      <c r="A128" s="6">
        <v>127</v>
      </c>
      <c r="B128" s="3">
        <v>38259</v>
      </c>
      <c r="C128" s="4">
        <v>0.12383335797737</v>
      </c>
      <c r="D128" s="4">
        <v>0.101785480976105</v>
      </c>
      <c r="E128" s="4">
        <v>192</v>
      </c>
      <c r="F128" s="4">
        <v>0</v>
      </c>
      <c r="G128" s="4">
        <v>27.898489583333301</v>
      </c>
      <c r="H128" s="4">
        <v>0</v>
      </c>
      <c r="I128" s="4">
        <v>1.04931794333683E-2</v>
      </c>
      <c r="J128" s="4">
        <v>9</v>
      </c>
      <c r="K128" s="4">
        <v>2004</v>
      </c>
      <c r="M128" s="5"/>
      <c r="O128" s="4">
        <v>0.01</v>
      </c>
      <c r="P128" s="4">
        <v>0.01</v>
      </c>
      <c r="Q128" s="4">
        <f>(P128-P127)/P127</f>
        <v>-0.95636363636363642</v>
      </c>
      <c r="R128" s="4">
        <v>35</v>
      </c>
      <c r="S128" s="3">
        <v>38259</v>
      </c>
      <c r="T128" s="2">
        <f>IF(N128&gt;0,1,0)</f>
        <v>0</v>
      </c>
    </row>
    <row r="129" spans="1:20" x14ac:dyDescent="0.2">
      <c r="A129" s="6">
        <v>128</v>
      </c>
      <c r="B129" s="3">
        <v>38267</v>
      </c>
      <c r="C129" s="4">
        <v>0.11541705387127101</v>
      </c>
      <c r="D129" s="4">
        <v>9.5512429873148605E-2</v>
      </c>
      <c r="E129" s="4">
        <v>190.6</v>
      </c>
      <c r="F129" s="4">
        <v>2</v>
      </c>
      <c r="G129" s="4">
        <v>27.855338541666701</v>
      </c>
      <c r="H129" s="4">
        <v>1.04931794333683E-2</v>
      </c>
      <c r="I129" s="4">
        <v>0.29166666666666702</v>
      </c>
      <c r="J129" s="4">
        <v>10</v>
      </c>
      <c r="K129" s="4">
        <v>2004</v>
      </c>
      <c r="M129" s="5" t="s">
        <v>3</v>
      </c>
      <c r="O129" s="4">
        <v>1.04931794333683E-2</v>
      </c>
      <c r="P129" s="4">
        <v>1.04931794333683E-2</v>
      </c>
      <c r="Q129" s="4">
        <f>(P129-P128)/P128</f>
        <v>4.9317943336829942E-2</v>
      </c>
      <c r="R129" s="4">
        <v>36</v>
      </c>
      <c r="S129" s="3">
        <v>38267</v>
      </c>
      <c r="T129" s="2">
        <f>IF(N129&gt;0,1,0)</f>
        <v>0</v>
      </c>
    </row>
    <row r="130" spans="1:20" x14ac:dyDescent="0.2">
      <c r="A130" s="6">
        <v>129</v>
      </c>
      <c r="B130" s="3">
        <v>38275</v>
      </c>
      <c r="C130" s="4">
        <v>0.13485283256861699</v>
      </c>
      <c r="D130" s="4">
        <v>0.11722929030656799</v>
      </c>
      <c r="E130" s="4">
        <v>192</v>
      </c>
      <c r="F130" s="4">
        <v>56</v>
      </c>
      <c r="G130" s="4">
        <v>27.807395833333299</v>
      </c>
      <c r="H130" s="4">
        <v>0.29166666666666702</v>
      </c>
      <c r="I130" s="4">
        <v>5.2083333333333301E-2</v>
      </c>
      <c r="J130" s="4">
        <v>10</v>
      </c>
      <c r="K130" s="4">
        <v>2004</v>
      </c>
      <c r="M130" s="5"/>
      <c r="O130" s="4">
        <v>0.29166666666666702</v>
      </c>
      <c r="P130" s="4">
        <v>0.29166666666666702</v>
      </c>
      <c r="Q130" s="9">
        <f>(P130-P129)/P129</f>
        <v>26.795833333333395</v>
      </c>
      <c r="R130" s="4">
        <v>37</v>
      </c>
      <c r="S130" s="3">
        <v>38275</v>
      </c>
      <c r="T130" s="2">
        <f>IF(N130&gt;0,1,0)</f>
        <v>0</v>
      </c>
    </row>
    <row r="131" spans="1:20" x14ac:dyDescent="0.2">
      <c r="A131" s="6">
        <v>130</v>
      </c>
      <c r="B131" s="3">
        <v>38283</v>
      </c>
      <c r="C131" s="4">
        <v>0.13191604986786801</v>
      </c>
      <c r="D131" s="4">
        <v>0.120065889010827</v>
      </c>
      <c r="E131" s="4">
        <v>192</v>
      </c>
      <c r="F131" s="4">
        <v>10</v>
      </c>
      <c r="G131" s="4">
        <v>28.182552083333299</v>
      </c>
      <c r="H131" s="4">
        <v>5.2083333333333301E-2</v>
      </c>
      <c r="I131" s="4">
        <v>6.2860136196961805E-2</v>
      </c>
      <c r="J131" s="4">
        <v>10</v>
      </c>
      <c r="K131" s="4">
        <v>2004</v>
      </c>
      <c r="M131" s="5"/>
      <c r="O131" s="4">
        <v>5.2083333333333301E-2</v>
      </c>
      <c r="P131" s="4">
        <v>5.2083333333333301E-2</v>
      </c>
      <c r="Q131" s="4">
        <f>(P131-P130)/P130</f>
        <v>-0.82142857142857173</v>
      </c>
      <c r="R131" s="4">
        <v>38</v>
      </c>
      <c r="S131" s="3">
        <v>38283</v>
      </c>
      <c r="T131" s="2">
        <f>IF(N131&gt;0,1,0)</f>
        <v>0</v>
      </c>
    </row>
    <row r="132" spans="1:20" x14ac:dyDescent="0.2">
      <c r="A132" s="6">
        <v>131</v>
      </c>
      <c r="B132" s="3">
        <v>38291</v>
      </c>
      <c r="C132" s="4">
        <v>0.185567268273897</v>
      </c>
      <c r="D132" s="4">
        <v>0.168695891896884</v>
      </c>
      <c r="E132" s="4">
        <v>190.9</v>
      </c>
      <c r="F132" s="4">
        <v>12</v>
      </c>
      <c r="G132" s="4">
        <v>28.300052083333298</v>
      </c>
      <c r="H132" s="4">
        <v>6.2860136196961805E-2</v>
      </c>
      <c r="I132" s="4">
        <v>5.2083333333333296E-3</v>
      </c>
      <c r="J132" s="4">
        <v>10</v>
      </c>
      <c r="K132" s="4">
        <v>2004</v>
      </c>
      <c r="M132" s="5" t="s">
        <v>2</v>
      </c>
      <c r="O132" s="4">
        <v>6.2860136196961805E-2</v>
      </c>
      <c r="P132" s="4">
        <v>6.2860136196961805E-2</v>
      </c>
      <c r="Q132" s="4">
        <f>(P132-P131)/P131</f>
        <v>0.20691461498166741</v>
      </c>
      <c r="R132" s="4">
        <v>39</v>
      </c>
      <c r="S132" s="3">
        <v>38291</v>
      </c>
      <c r="T132" s="2">
        <f>IF(N132&gt;0,1,0)</f>
        <v>0</v>
      </c>
    </row>
    <row r="133" spans="1:20" x14ac:dyDescent="0.2">
      <c r="A133" s="6">
        <v>132</v>
      </c>
      <c r="B133" s="3">
        <v>38299</v>
      </c>
      <c r="C133" s="4">
        <v>0.20835866634525499</v>
      </c>
      <c r="D133" s="4">
        <v>0.22772865245739601</v>
      </c>
      <c r="E133" s="4">
        <v>192</v>
      </c>
      <c r="F133" s="4">
        <v>1</v>
      </c>
      <c r="G133" s="4">
        <v>28.192447916666701</v>
      </c>
      <c r="H133" s="4">
        <v>5.2083333333333296E-3</v>
      </c>
      <c r="I133" s="4">
        <v>5.7621791513881603E-2</v>
      </c>
      <c r="J133" s="4">
        <v>11</v>
      </c>
      <c r="K133" s="4">
        <v>2004</v>
      </c>
      <c r="M133" s="5"/>
      <c r="O133" s="4">
        <v>5.2083333333333296E-3</v>
      </c>
      <c r="P133" s="4">
        <v>5.2083333333333296E-3</v>
      </c>
      <c r="Q133" s="4">
        <f>(P133-P132)/P132</f>
        <v>-0.91714409722222234</v>
      </c>
      <c r="R133" s="4">
        <v>40</v>
      </c>
      <c r="S133" s="3">
        <v>38299</v>
      </c>
      <c r="T133" s="2">
        <f>IF(N133&gt;0,1,0)</f>
        <v>0</v>
      </c>
    </row>
    <row r="134" spans="1:20" x14ac:dyDescent="0.2">
      <c r="A134" s="6">
        <v>133</v>
      </c>
      <c r="B134" s="3">
        <v>38307</v>
      </c>
      <c r="C134" s="4">
        <v>0.20728794705867801</v>
      </c>
      <c r="D134" s="4">
        <v>0.20552919556697199</v>
      </c>
      <c r="E134" s="4">
        <v>190.9</v>
      </c>
      <c r="F134" s="4">
        <v>11</v>
      </c>
      <c r="G134" s="4">
        <v>28.114218749999999</v>
      </c>
      <c r="H134" s="4">
        <v>5.7621791513881603E-2</v>
      </c>
      <c r="I134" s="4">
        <v>0</v>
      </c>
      <c r="J134" s="4">
        <v>11</v>
      </c>
      <c r="K134" s="4">
        <v>2004</v>
      </c>
      <c r="M134" s="5"/>
      <c r="O134" s="4">
        <v>5.7621791513881603E-2</v>
      </c>
      <c r="P134" s="4">
        <v>5.7621791513881603E-2</v>
      </c>
      <c r="Q134" s="4">
        <f>(P134-P133)/P133</f>
        <v>10.063383970665276</v>
      </c>
      <c r="R134" s="4">
        <v>41</v>
      </c>
      <c r="S134" s="3">
        <v>38307</v>
      </c>
      <c r="T134" s="2">
        <f>IF(N134&gt;0,1,0)</f>
        <v>0</v>
      </c>
    </row>
    <row r="135" spans="1:20" x14ac:dyDescent="0.2">
      <c r="A135" s="6">
        <v>134</v>
      </c>
      <c r="B135" s="3">
        <v>38315</v>
      </c>
      <c r="C135" s="4">
        <v>0.22748993149587299</v>
      </c>
      <c r="D135" s="4">
        <v>0.19959906985362399</v>
      </c>
      <c r="E135" s="4">
        <v>191.7</v>
      </c>
      <c r="F135" s="4">
        <v>0</v>
      </c>
      <c r="G135" s="4">
        <v>27.990781250000001</v>
      </c>
      <c r="H135" s="4">
        <v>0</v>
      </c>
      <c r="I135" s="4">
        <v>0</v>
      </c>
      <c r="J135" s="4">
        <v>11</v>
      </c>
      <c r="K135" s="4">
        <v>2004</v>
      </c>
      <c r="M135" s="5"/>
      <c r="O135" s="4">
        <v>0.01</v>
      </c>
      <c r="P135" s="4">
        <v>0.01</v>
      </c>
      <c r="Q135" s="4">
        <f>(P135-P134)/P134</f>
        <v>-0.82645454545454544</v>
      </c>
      <c r="R135" s="4">
        <v>42</v>
      </c>
      <c r="S135" s="3">
        <v>38315</v>
      </c>
      <c r="T135" s="2">
        <f>IF(N135&gt;0,1,0)</f>
        <v>0</v>
      </c>
    </row>
    <row r="136" spans="1:20" x14ac:dyDescent="0.2">
      <c r="A136" s="6">
        <v>135</v>
      </c>
      <c r="B136" s="3">
        <v>38323</v>
      </c>
      <c r="C136" s="4">
        <v>0.19385285375432801</v>
      </c>
      <c r="D136" s="4">
        <v>0.18078758319218999</v>
      </c>
      <c r="E136" s="4">
        <v>192</v>
      </c>
      <c r="F136" s="4">
        <v>0</v>
      </c>
      <c r="G136" s="4">
        <v>28.264088541666698</v>
      </c>
      <c r="H136" s="4">
        <v>0</v>
      </c>
      <c r="I136" s="4">
        <v>5.2083333333333301E-2</v>
      </c>
      <c r="J136" s="4">
        <v>12</v>
      </c>
      <c r="K136" s="4">
        <v>2004</v>
      </c>
      <c r="M136" s="5" t="s">
        <v>1</v>
      </c>
      <c r="O136" s="4">
        <v>0.01</v>
      </c>
      <c r="P136" s="4">
        <v>0.01</v>
      </c>
      <c r="Q136" s="4">
        <f>(P136-P135)/P135</f>
        <v>0</v>
      </c>
      <c r="R136" s="4">
        <v>43</v>
      </c>
      <c r="S136" s="3">
        <v>38323</v>
      </c>
      <c r="T136" s="2">
        <f>IF(N136&gt;0,1,0)</f>
        <v>0</v>
      </c>
    </row>
    <row r="137" spans="1:20" x14ac:dyDescent="0.2">
      <c r="A137" s="6">
        <v>136</v>
      </c>
      <c r="B137" s="3">
        <v>38331</v>
      </c>
      <c r="C137" s="4">
        <v>0.19598525908443501</v>
      </c>
      <c r="D137" s="4">
        <v>0.17182284345229501</v>
      </c>
      <c r="E137" s="4">
        <v>192</v>
      </c>
      <c r="F137" s="4">
        <v>10</v>
      </c>
      <c r="G137" s="4">
        <v>28.514218750000001</v>
      </c>
      <c r="H137" s="4">
        <v>5.2083333333333301E-2</v>
      </c>
      <c r="I137" s="4">
        <v>0.27604166666666702</v>
      </c>
      <c r="J137" s="4">
        <v>12</v>
      </c>
      <c r="K137" s="4">
        <v>2004</v>
      </c>
      <c r="M137" s="5"/>
      <c r="O137" s="4">
        <v>5.2083333333333301E-2</v>
      </c>
      <c r="P137" s="4">
        <v>5.2083333333333301E-2</v>
      </c>
      <c r="Q137" s="4">
        <f>(P137-P136)/P136</f>
        <v>4.2083333333333295</v>
      </c>
      <c r="R137" s="4">
        <v>44</v>
      </c>
      <c r="S137" s="3">
        <v>38331</v>
      </c>
      <c r="T137" s="2">
        <f>IF(N137&gt;0,1,0)</f>
        <v>0</v>
      </c>
    </row>
    <row r="138" spans="1:20" x14ac:dyDescent="0.2">
      <c r="A138" s="6">
        <v>137</v>
      </c>
      <c r="B138" s="3">
        <v>38339</v>
      </c>
      <c r="C138" s="4">
        <v>0.15938513910069199</v>
      </c>
      <c r="D138" s="4">
        <v>0.1727185100317</v>
      </c>
      <c r="E138" s="4">
        <v>192</v>
      </c>
      <c r="F138" s="4">
        <v>53</v>
      </c>
      <c r="G138" s="4">
        <v>28.321223958333299</v>
      </c>
      <c r="H138" s="4">
        <v>0.27604166666666702</v>
      </c>
      <c r="I138" s="4">
        <v>0.20138888888888901</v>
      </c>
      <c r="J138" s="4">
        <v>12</v>
      </c>
      <c r="K138" s="4">
        <v>2004</v>
      </c>
      <c r="M138" s="5"/>
      <c r="O138" s="4">
        <v>0.27604166666666702</v>
      </c>
      <c r="P138" s="4">
        <v>0.27604166666666702</v>
      </c>
      <c r="Q138" s="4">
        <f>(P138-P137)/P137</f>
        <v>4.3000000000000096</v>
      </c>
      <c r="R138" s="4">
        <v>45</v>
      </c>
      <c r="S138" s="3">
        <v>38339</v>
      </c>
      <c r="T138" s="2">
        <f>IF(N138&gt;0,1,0)</f>
        <v>0</v>
      </c>
    </row>
    <row r="139" spans="1:20" x14ac:dyDescent="0.2">
      <c r="A139" s="6">
        <v>138</v>
      </c>
      <c r="B139" s="3">
        <v>38347</v>
      </c>
      <c r="C139" s="4">
        <v>0.26341918421288302</v>
      </c>
      <c r="D139" s="4">
        <v>0.25396195550759598</v>
      </c>
      <c r="E139" s="4">
        <v>144</v>
      </c>
      <c r="F139" s="4">
        <v>29</v>
      </c>
      <c r="G139" s="4">
        <v>28.1458333333333</v>
      </c>
      <c r="H139" s="4">
        <v>0.20138888888888901</v>
      </c>
      <c r="I139" s="4">
        <v>0.125</v>
      </c>
      <c r="J139" s="4">
        <v>12</v>
      </c>
      <c r="K139" s="4">
        <v>2004</v>
      </c>
      <c r="M139" s="5"/>
      <c r="O139" s="4">
        <v>0.20138888888888901</v>
      </c>
      <c r="P139" s="4">
        <v>0.20138888888888901</v>
      </c>
      <c r="Q139" s="4">
        <f>(P139-P138)/P138</f>
        <v>-0.27044025157232754</v>
      </c>
      <c r="R139" s="4">
        <v>46</v>
      </c>
      <c r="S139" s="3">
        <v>38347</v>
      </c>
      <c r="T139" s="2">
        <f>IF(N139&gt;0,1,0)</f>
        <v>0</v>
      </c>
    </row>
    <row r="140" spans="1:20" x14ac:dyDescent="0.2">
      <c r="A140" s="6">
        <v>139</v>
      </c>
      <c r="B140" s="3">
        <v>38353</v>
      </c>
      <c r="C140" s="4">
        <v>0.247945293140926</v>
      </c>
      <c r="D140" s="4">
        <v>0.31837671498457598</v>
      </c>
      <c r="E140" s="4">
        <v>192</v>
      </c>
      <c r="F140" s="4">
        <v>24</v>
      </c>
      <c r="G140" s="4">
        <v>28.404401041666699</v>
      </c>
      <c r="H140" s="4">
        <v>0.125</v>
      </c>
      <c r="I140" s="4">
        <v>1.5625E-2</v>
      </c>
      <c r="J140" s="4">
        <v>1</v>
      </c>
      <c r="K140" s="4">
        <v>2005</v>
      </c>
      <c r="L140">
        <v>2005</v>
      </c>
      <c r="M140" s="5" t="s">
        <v>12</v>
      </c>
      <c r="O140" s="4">
        <v>0.125</v>
      </c>
      <c r="P140" s="4">
        <v>0.125</v>
      </c>
      <c r="Q140" s="4">
        <f>(P140-P139)/P139</f>
        <v>-0.37931034482758658</v>
      </c>
      <c r="R140" s="4">
        <v>1</v>
      </c>
      <c r="S140" s="3">
        <v>38353</v>
      </c>
      <c r="T140" s="2">
        <f>IF(N140&gt;0,1,0)</f>
        <v>0</v>
      </c>
    </row>
    <row r="141" spans="1:20" x14ac:dyDescent="0.2">
      <c r="A141" s="6">
        <v>140</v>
      </c>
      <c r="B141" s="3">
        <v>38361</v>
      </c>
      <c r="C141" s="4">
        <v>0.26840627545283902</v>
      </c>
      <c r="D141" s="4">
        <v>0.28929675618807499</v>
      </c>
      <c r="E141" s="4">
        <v>192</v>
      </c>
      <c r="F141" s="4">
        <v>3</v>
      </c>
      <c r="G141" s="4">
        <v>28.982057291666699</v>
      </c>
      <c r="H141" s="4">
        <v>1.5625E-2</v>
      </c>
      <c r="I141" s="4">
        <v>0.27083333333333298</v>
      </c>
      <c r="J141" s="4">
        <v>1</v>
      </c>
      <c r="K141" s="4">
        <v>2005</v>
      </c>
      <c r="M141" s="5"/>
      <c r="O141" s="4">
        <v>1.5625E-2</v>
      </c>
      <c r="P141" s="4">
        <v>1.5625E-2</v>
      </c>
      <c r="Q141" s="4">
        <f>(P141-P140)/P140</f>
        <v>-0.875</v>
      </c>
      <c r="R141" s="4">
        <v>2</v>
      </c>
      <c r="S141" s="3">
        <v>38361</v>
      </c>
      <c r="T141" s="2">
        <f>IF(N141&gt;0,1,0)</f>
        <v>0</v>
      </c>
    </row>
    <row r="142" spans="1:20" x14ac:dyDescent="0.2">
      <c r="A142" s="6">
        <v>141</v>
      </c>
      <c r="B142" s="3">
        <v>38369</v>
      </c>
      <c r="C142" s="4">
        <v>0.19610467856483799</v>
      </c>
      <c r="D142" s="4">
        <v>0.16418418536583601</v>
      </c>
      <c r="E142" s="4">
        <v>192</v>
      </c>
      <c r="F142" s="4">
        <v>52</v>
      </c>
      <c r="G142" s="4">
        <v>29.657447916666701</v>
      </c>
      <c r="H142" s="4">
        <v>0.27083333333333298</v>
      </c>
      <c r="I142" s="4">
        <v>0.625</v>
      </c>
      <c r="J142" s="4">
        <v>1</v>
      </c>
      <c r="K142" s="4">
        <v>2005</v>
      </c>
      <c r="M142" s="5"/>
      <c r="O142" s="4">
        <v>0.27083333333333298</v>
      </c>
      <c r="P142" s="4">
        <v>0.27083333333333298</v>
      </c>
      <c r="Q142" s="4">
        <f>(P142-P141)/P141</f>
        <v>16.333333333333311</v>
      </c>
      <c r="R142" s="4">
        <v>3</v>
      </c>
      <c r="S142" s="3">
        <v>38369</v>
      </c>
      <c r="T142" s="2">
        <f>IF(N142&gt;0,1,0)</f>
        <v>0</v>
      </c>
    </row>
    <row r="143" spans="1:20" x14ac:dyDescent="0.2">
      <c r="A143" s="6">
        <v>142</v>
      </c>
      <c r="B143" s="3">
        <v>38377</v>
      </c>
      <c r="C143" s="4">
        <v>0.21673887990871299</v>
      </c>
      <c r="D143" s="4">
        <v>0.26602187156677198</v>
      </c>
      <c r="E143" s="4">
        <v>192</v>
      </c>
      <c r="F143" s="4">
        <v>120</v>
      </c>
      <c r="G143" s="4">
        <v>29.101171874999999</v>
      </c>
      <c r="H143" s="4">
        <v>0.625</v>
      </c>
      <c r="I143" s="4">
        <v>0.375</v>
      </c>
      <c r="J143" s="4">
        <v>1</v>
      </c>
      <c r="K143" s="4">
        <v>2005</v>
      </c>
      <c r="M143" s="5"/>
      <c r="O143" s="4">
        <v>0.625</v>
      </c>
      <c r="P143" s="4">
        <v>0.625</v>
      </c>
      <c r="Q143" s="4">
        <f>(P143-P142)/P142</f>
        <v>1.3076923076923106</v>
      </c>
      <c r="R143" s="4">
        <v>4</v>
      </c>
      <c r="S143" s="3">
        <v>38377</v>
      </c>
      <c r="T143" s="2">
        <f>IF(N143&gt;0,1,0)</f>
        <v>0</v>
      </c>
    </row>
    <row r="144" spans="1:20" x14ac:dyDescent="0.2">
      <c r="A144" s="6">
        <v>143</v>
      </c>
      <c r="B144" s="3">
        <v>38385</v>
      </c>
      <c r="C144" s="4">
        <v>0.21279627001947801</v>
      </c>
      <c r="D144" s="4">
        <v>0.21015168974796899</v>
      </c>
      <c r="E144" s="4">
        <v>192</v>
      </c>
      <c r="F144" s="4">
        <v>72</v>
      </c>
      <c r="G144" s="4">
        <v>28.711536458333299</v>
      </c>
      <c r="H144" s="4">
        <v>0.375</v>
      </c>
      <c r="I144" s="4">
        <v>0.17708333333333301</v>
      </c>
      <c r="J144" s="4">
        <v>2</v>
      </c>
      <c r="K144" s="4">
        <v>2005</v>
      </c>
      <c r="M144" s="5" t="s">
        <v>11</v>
      </c>
      <c r="O144" s="4">
        <v>0.375</v>
      </c>
      <c r="P144" s="4">
        <v>0.375</v>
      </c>
      <c r="Q144" s="4">
        <f>(P144-P143)/P143</f>
        <v>-0.4</v>
      </c>
      <c r="R144" s="4">
        <v>5</v>
      </c>
      <c r="S144" s="3">
        <v>38385</v>
      </c>
      <c r="T144" s="2">
        <f>IF(N144&gt;0,1,0)</f>
        <v>0</v>
      </c>
    </row>
    <row r="145" spans="1:20" x14ac:dyDescent="0.2">
      <c r="A145" s="6">
        <v>144</v>
      </c>
      <c r="B145" s="3">
        <v>38393</v>
      </c>
      <c r="C145" s="4">
        <v>0.18310055316936599</v>
      </c>
      <c r="D145" s="4">
        <v>0.18523455411195799</v>
      </c>
      <c r="E145" s="4">
        <v>192</v>
      </c>
      <c r="F145" s="4">
        <v>34</v>
      </c>
      <c r="G145" s="4">
        <v>28.293906249999999</v>
      </c>
      <c r="H145" s="4">
        <v>0.17708333333333301</v>
      </c>
      <c r="I145" s="4">
        <v>0.828125</v>
      </c>
      <c r="J145" s="4">
        <v>2</v>
      </c>
      <c r="K145" s="4">
        <v>2005</v>
      </c>
      <c r="M145" s="5"/>
      <c r="O145" s="4">
        <v>0.17708333333333301</v>
      </c>
      <c r="P145" s="4">
        <v>0.17708333333333301</v>
      </c>
      <c r="Q145" s="4">
        <f>(P145-P144)/P144</f>
        <v>-0.52777777777777868</v>
      </c>
      <c r="R145" s="4">
        <v>6</v>
      </c>
      <c r="S145" s="3">
        <v>38393</v>
      </c>
      <c r="T145" s="2">
        <f>IF(N145&gt;0,1,0)</f>
        <v>0</v>
      </c>
    </row>
    <row r="146" spans="1:20" x14ac:dyDescent="0.2">
      <c r="A146" s="6">
        <v>145</v>
      </c>
      <c r="B146" s="10">
        <v>38401</v>
      </c>
      <c r="C146" s="4">
        <v>0.15491160586476299</v>
      </c>
      <c r="D146" s="4">
        <v>0.18323202927907301</v>
      </c>
      <c r="E146" s="4">
        <v>192</v>
      </c>
      <c r="F146" s="4">
        <v>159</v>
      </c>
      <c r="G146" s="4">
        <v>29.009661458333401</v>
      </c>
      <c r="H146" s="4">
        <v>0.828125</v>
      </c>
      <c r="I146" s="4">
        <v>0.91145833333333304</v>
      </c>
      <c r="J146" s="4">
        <v>2</v>
      </c>
      <c r="K146" s="4">
        <v>2005</v>
      </c>
      <c r="M146" s="5"/>
      <c r="N146" s="4">
        <v>0.828125</v>
      </c>
      <c r="P146" s="4">
        <v>0.828125</v>
      </c>
      <c r="Q146" s="9">
        <f>(P146-P145)/P145</f>
        <v>3.6764705882353024</v>
      </c>
      <c r="R146" s="4">
        <v>7</v>
      </c>
      <c r="S146" s="10">
        <v>38401</v>
      </c>
      <c r="T146" s="2">
        <f>IF(N146&gt;0,1,0)</f>
        <v>1</v>
      </c>
    </row>
    <row r="147" spans="1:20" x14ac:dyDescent="0.2">
      <c r="A147" s="6">
        <v>146</v>
      </c>
      <c r="B147" s="3">
        <v>38409</v>
      </c>
      <c r="C147" s="4">
        <v>0.13108168552733099</v>
      </c>
      <c r="D147" s="4">
        <v>0.13034424806634601</v>
      </c>
      <c r="E147" s="4">
        <v>192</v>
      </c>
      <c r="F147" s="4">
        <v>175</v>
      </c>
      <c r="G147" s="4">
        <v>29.959505208333301</v>
      </c>
      <c r="H147" s="4">
        <v>0.91145833333333304</v>
      </c>
      <c r="I147" s="4">
        <v>0.94791666666666696</v>
      </c>
      <c r="J147" s="4">
        <v>2</v>
      </c>
      <c r="K147" s="4">
        <v>2005</v>
      </c>
      <c r="M147" s="5"/>
      <c r="N147" s="4">
        <v>0.91145833333333304</v>
      </c>
      <c r="P147" s="4">
        <v>0.91145833333333304</v>
      </c>
      <c r="Q147" s="4">
        <f>(P147-P146)/P146</f>
        <v>0.10062893081760971</v>
      </c>
      <c r="R147" s="4">
        <v>8</v>
      </c>
      <c r="S147" s="3">
        <v>38409</v>
      </c>
      <c r="T147" s="2">
        <f>IF(N147&gt;0,1,0)</f>
        <v>1</v>
      </c>
    </row>
    <row r="148" spans="1:20" x14ac:dyDescent="0.2">
      <c r="A148" s="6">
        <v>147</v>
      </c>
      <c r="B148" s="3">
        <v>38417</v>
      </c>
      <c r="C148" s="4">
        <v>0.11771237586314499</v>
      </c>
      <c r="D148" s="4">
        <v>0.10588770608107199</v>
      </c>
      <c r="E148" s="4">
        <v>192</v>
      </c>
      <c r="F148" s="4">
        <v>182</v>
      </c>
      <c r="G148" s="4">
        <v>30.253151041666701</v>
      </c>
      <c r="H148" s="4">
        <v>0.94791666666666696</v>
      </c>
      <c r="I148" s="4">
        <v>0.99738903394255896</v>
      </c>
      <c r="J148" s="4">
        <v>3</v>
      </c>
      <c r="K148" s="4">
        <v>2005</v>
      </c>
      <c r="M148" s="5" t="s">
        <v>10</v>
      </c>
      <c r="N148" s="4">
        <v>0.94791666666666696</v>
      </c>
      <c r="P148" s="4">
        <v>0.94791666666666696</v>
      </c>
      <c r="Q148" s="4">
        <f>(P148-P147)/P147</f>
        <v>4.000000000000066E-2</v>
      </c>
      <c r="R148" s="4">
        <v>9</v>
      </c>
      <c r="S148" s="3">
        <v>38417</v>
      </c>
      <c r="T148" s="2">
        <f>IF(N148&gt;0,1,0)</f>
        <v>1</v>
      </c>
    </row>
    <row r="149" spans="1:20" x14ac:dyDescent="0.2">
      <c r="A149" s="6">
        <v>148</v>
      </c>
      <c r="B149" s="3">
        <v>38425</v>
      </c>
      <c r="C149" s="4">
        <v>0.138136068675316</v>
      </c>
      <c r="D149" s="4">
        <v>0.123147901147604</v>
      </c>
      <c r="E149" s="4">
        <v>191.5</v>
      </c>
      <c r="F149" s="4">
        <v>191</v>
      </c>
      <c r="G149" s="4">
        <v>29.9745833333333</v>
      </c>
      <c r="H149" s="4">
        <v>0.99738903394255896</v>
      </c>
      <c r="I149" s="4">
        <v>0.93617021276595702</v>
      </c>
      <c r="J149" s="4">
        <v>3</v>
      </c>
      <c r="K149" s="4">
        <v>2005</v>
      </c>
      <c r="M149" s="5"/>
      <c r="N149" s="4">
        <v>0.99738903394255896</v>
      </c>
      <c r="P149" s="4">
        <v>0.99738903394255896</v>
      </c>
      <c r="Q149" s="4">
        <f>(P149-P148)/P148</f>
        <v>5.2190629214127801E-2</v>
      </c>
      <c r="R149" s="4">
        <v>10</v>
      </c>
      <c r="S149" s="3">
        <v>38425</v>
      </c>
      <c r="T149" s="2">
        <f>IF(N149&gt;0,1,0)</f>
        <v>1</v>
      </c>
    </row>
    <row r="150" spans="1:20" x14ac:dyDescent="0.2">
      <c r="A150" s="6">
        <v>149</v>
      </c>
      <c r="B150" s="3">
        <v>38433</v>
      </c>
      <c r="C150" s="4">
        <v>0.128854722767654</v>
      </c>
      <c r="D150" s="4">
        <v>0.11484731733799</v>
      </c>
      <c r="E150" s="4">
        <v>188</v>
      </c>
      <c r="F150" s="4">
        <v>176</v>
      </c>
      <c r="G150" s="4">
        <v>29.708749999999998</v>
      </c>
      <c r="H150" s="4">
        <v>0.93617021276595702</v>
      </c>
      <c r="I150" s="4">
        <v>0.86702127659574502</v>
      </c>
      <c r="J150" s="4">
        <v>3</v>
      </c>
      <c r="K150" s="4">
        <v>2005</v>
      </c>
      <c r="M150" s="5"/>
      <c r="N150" s="4">
        <v>0.93617021276595702</v>
      </c>
      <c r="P150" s="4">
        <v>0.93617021276595702</v>
      </c>
      <c r="Q150" s="4">
        <f>(P150-P149)/P149</f>
        <v>-6.1379079870781506E-2</v>
      </c>
      <c r="R150" s="4">
        <v>11</v>
      </c>
      <c r="S150" s="3">
        <v>38433</v>
      </c>
      <c r="T150" s="2">
        <f>IF(N150&gt;0,1,0)</f>
        <v>1</v>
      </c>
    </row>
    <row r="151" spans="1:20" x14ac:dyDescent="0.2">
      <c r="A151" s="6">
        <v>150</v>
      </c>
      <c r="B151" s="3">
        <v>38441</v>
      </c>
      <c r="C151" s="4">
        <v>0.101581697662671</v>
      </c>
      <c r="D151" s="4">
        <v>0.10300111770629899</v>
      </c>
      <c r="E151" s="4">
        <v>188</v>
      </c>
      <c r="F151" s="4">
        <v>163</v>
      </c>
      <c r="G151" s="4">
        <v>29.097291666666699</v>
      </c>
      <c r="H151" s="4">
        <v>0.86702127659574502</v>
      </c>
      <c r="I151" s="4">
        <v>0.47872340425531901</v>
      </c>
      <c r="J151" s="4">
        <v>3</v>
      </c>
      <c r="K151" s="4">
        <v>2005</v>
      </c>
      <c r="M151" s="5"/>
      <c r="N151" s="4">
        <v>0.86702127659574502</v>
      </c>
      <c r="P151" s="4">
        <v>0.86702127659574502</v>
      </c>
      <c r="Q151" s="4">
        <f>(P151-P150)/P150</f>
        <v>-7.386363636363559E-2</v>
      </c>
      <c r="R151" s="4">
        <v>12</v>
      </c>
      <c r="S151" s="3">
        <v>38441</v>
      </c>
      <c r="T151" s="2">
        <f>IF(N151&gt;0,1,0)</f>
        <v>1</v>
      </c>
    </row>
    <row r="152" spans="1:20" x14ac:dyDescent="0.2">
      <c r="A152" s="6">
        <v>151</v>
      </c>
      <c r="B152" s="3">
        <v>38449</v>
      </c>
      <c r="C152" s="4">
        <v>0.130050955081566</v>
      </c>
      <c r="D152" s="4">
        <v>0.108480588843425</v>
      </c>
      <c r="E152" s="4">
        <v>188</v>
      </c>
      <c r="F152" s="4">
        <v>90</v>
      </c>
      <c r="G152" s="4">
        <v>29.847057291666701</v>
      </c>
      <c r="H152" s="4">
        <v>0.47872340425531901</v>
      </c>
      <c r="I152" s="4">
        <v>0.21276595744680901</v>
      </c>
      <c r="J152" s="4">
        <v>4</v>
      </c>
      <c r="K152" s="4">
        <v>2005</v>
      </c>
      <c r="M152" s="5" t="s">
        <v>9</v>
      </c>
      <c r="N152" s="4">
        <v>0.47872340425531901</v>
      </c>
      <c r="P152" s="4">
        <v>0.47872340425531901</v>
      </c>
      <c r="Q152" s="4">
        <f>(P152-P151)/P151</f>
        <v>-0.44785276073619668</v>
      </c>
      <c r="R152" s="4">
        <v>13</v>
      </c>
      <c r="S152" s="3">
        <v>38449</v>
      </c>
      <c r="T152" s="2">
        <f>IF(N152&gt;0,1,0)</f>
        <v>1</v>
      </c>
    </row>
    <row r="153" spans="1:20" x14ac:dyDescent="0.2">
      <c r="A153" s="6">
        <v>152</v>
      </c>
      <c r="B153" s="10">
        <v>38457</v>
      </c>
      <c r="C153" s="4">
        <v>0.10956763263998801</v>
      </c>
      <c r="D153" s="4">
        <v>0.101498452325662</v>
      </c>
      <c r="E153" s="4">
        <v>188</v>
      </c>
      <c r="F153" s="4">
        <v>40</v>
      </c>
      <c r="G153" s="4">
        <v>30.0283072916667</v>
      </c>
      <c r="H153" s="4">
        <v>0.21276595744680901</v>
      </c>
      <c r="I153" s="4">
        <v>5.31914893617021E-3</v>
      </c>
      <c r="J153" s="4">
        <v>4</v>
      </c>
      <c r="K153" s="4">
        <v>2005</v>
      </c>
      <c r="M153" s="5"/>
      <c r="N153" s="4">
        <v>0.21276595744680901</v>
      </c>
      <c r="P153" s="4">
        <v>0.21276595744680901</v>
      </c>
      <c r="Q153" s="4">
        <f>(P153-P152)/P152</f>
        <v>-0.55555555555555436</v>
      </c>
      <c r="R153" s="4">
        <v>14</v>
      </c>
      <c r="S153" s="10">
        <v>38457</v>
      </c>
      <c r="T153" s="2">
        <f>IF(N153&gt;0,1,0)</f>
        <v>1</v>
      </c>
    </row>
    <row r="154" spans="1:20" x14ac:dyDescent="0.2">
      <c r="A154" s="6">
        <v>153</v>
      </c>
      <c r="B154" s="3">
        <v>38465</v>
      </c>
      <c r="C154" s="4">
        <v>0.12519550037340799</v>
      </c>
      <c r="D154" s="4">
        <v>9.5278042058150006E-2</v>
      </c>
      <c r="E154" s="4">
        <v>188</v>
      </c>
      <c r="F154" s="4">
        <v>1</v>
      </c>
      <c r="G154" s="4">
        <v>29.535520833333401</v>
      </c>
      <c r="H154" s="4">
        <v>5.31914893617021E-3</v>
      </c>
      <c r="I154" s="4">
        <v>5.31914893617021E-3</v>
      </c>
      <c r="J154" s="4">
        <v>4</v>
      </c>
      <c r="K154" s="4">
        <v>2005</v>
      </c>
      <c r="M154" s="5"/>
      <c r="O154" s="4">
        <v>5.31914893617021E-3</v>
      </c>
      <c r="P154" s="4">
        <v>5.31914893617021E-3</v>
      </c>
      <c r="Q154" s="9">
        <f>(P154-P153)/P153</f>
        <v>-0.97499999999999998</v>
      </c>
      <c r="R154" s="4">
        <v>15</v>
      </c>
      <c r="S154" s="3">
        <v>38465</v>
      </c>
      <c r="T154" s="2">
        <f>IF(N154&gt;0,1,0)</f>
        <v>0</v>
      </c>
    </row>
    <row r="155" spans="1:20" x14ac:dyDescent="0.2">
      <c r="A155" s="6">
        <v>154</v>
      </c>
      <c r="B155" s="3">
        <v>38473</v>
      </c>
      <c r="C155" s="4">
        <v>0.18781321112598701</v>
      </c>
      <c r="D155" s="4">
        <v>0.17294065654277799</v>
      </c>
      <c r="E155" s="4">
        <v>188</v>
      </c>
      <c r="F155" s="4">
        <v>1</v>
      </c>
      <c r="G155" s="4">
        <v>29.029921874999999</v>
      </c>
      <c r="H155" s="4">
        <v>5.31914893617021E-3</v>
      </c>
      <c r="I155" s="4">
        <v>5.4347826086956503E-3</v>
      </c>
      <c r="J155" s="4">
        <v>5</v>
      </c>
      <c r="K155" s="4">
        <v>2005</v>
      </c>
      <c r="M155" s="5" t="s">
        <v>8</v>
      </c>
      <c r="O155" s="4">
        <v>5.31914893617021E-3</v>
      </c>
      <c r="P155" s="4">
        <v>5.31914893617021E-3</v>
      </c>
      <c r="Q155" s="4">
        <f>(P155-P154)/P154</f>
        <v>0</v>
      </c>
      <c r="R155" s="4">
        <v>16</v>
      </c>
      <c r="S155" s="3">
        <v>38473</v>
      </c>
      <c r="T155" s="2">
        <f>IF(N155&gt;0,1,0)</f>
        <v>0</v>
      </c>
    </row>
    <row r="156" spans="1:20" x14ac:dyDescent="0.2">
      <c r="A156" s="6">
        <v>155</v>
      </c>
      <c r="B156" s="3">
        <v>38481</v>
      </c>
      <c r="C156" s="4">
        <v>0.17721507460292801</v>
      </c>
      <c r="D156" s="4">
        <v>0.17983725418647101</v>
      </c>
      <c r="E156" s="4">
        <v>184</v>
      </c>
      <c r="F156" s="4">
        <v>1</v>
      </c>
      <c r="G156" s="4">
        <v>28.879427083333301</v>
      </c>
      <c r="H156" s="4">
        <v>5.4347826086956503E-3</v>
      </c>
      <c r="I156" s="4">
        <v>0</v>
      </c>
      <c r="J156" s="4">
        <v>5</v>
      </c>
      <c r="K156" s="4">
        <v>2005</v>
      </c>
      <c r="M156" s="5"/>
      <c r="O156" s="4">
        <v>5.4347826086956503E-3</v>
      </c>
      <c r="P156" s="4">
        <v>5.4347826086956503E-3</v>
      </c>
      <c r="Q156" s="4">
        <f>(P156-P155)/P155</f>
        <v>2.1739130434782778E-2</v>
      </c>
      <c r="R156" s="4">
        <v>17</v>
      </c>
      <c r="S156" s="3">
        <v>38481</v>
      </c>
      <c r="T156" s="2">
        <f>IF(N156&gt;0,1,0)</f>
        <v>0</v>
      </c>
    </row>
    <row r="157" spans="1:20" x14ac:dyDescent="0.2">
      <c r="A157" s="6">
        <v>156</v>
      </c>
      <c r="B157" s="3">
        <v>38489</v>
      </c>
      <c r="C157" s="4">
        <v>0.157579254593466</v>
      </c>
      <c r="D157" s="4">
        <v>0.14773267010847699</v>
      </c>
      <c r="E157" s="4">
        <v>192</v>
      </c>
      <c r="F157" s="4">
        <v>0</v>
      </c>
      <c r="G157" s="4">
        <v>28.800885416666599</v>
      </c>
      <c r="H157" s="4">
        <v>0</v>
      </c>
      <c r="I157" s="4">
        <v>7.8125E-2</v>
      </c>
      <c r="J157" s="4">
        <v>5</v>
      </c>
      <c r="K157" s="4">
        <v>2005</v>
      </c>
      <c r="M157" s="5"/>
      <c r="O157" s="4">
        <v>0.01</v>
      </c>
      <c r="P157" s="4">
        <v>0.01</v>
      </c>
      <c r="Q157" s="4">
        <f>(P157-P156)/P156</f>
        <v>0.84000000000000064</v>
      </c>
      <c r="R157" s="4">
        <v>18</v>
      </c>
      <c r="S157" s="3">
        <v>38489</v>
      </c>
      <c r="T157" s="2">
        <f>IF(N157&gt;0,1,0)</f>
        <v>0</v>
      </c>
    </row>
    <row r="158" spans="1:20" x14ac:dyDescent="0.2">
      <c r="A158" s="6">
        <v>157</v>
      </c>
      <c r="B158" s="3">
        <v>38497</v>
      </c>
      <c r="C158" s="4">
        <v>0.17250680587661099</v>
      </c>
      <c r="D158" s="4">
        <v>0.16491683572530699</v>
      </c>
      <c r="E158" s="4">
        <v>192</v>
      </c>
      <c r="F158" s="4">
        <v>15</v>
      </c>
      <c r="G158" s="4">
        <v>28.553593750000001</v>
      </c>
      <c r="H158" s="4">
        <v>7.8125E-2</v>
      </c>
      <c r="I158" s="4">
        <v>0.10638297872340401</v>
      </c>
      <c r="J158" s="4">
        <v>5</v>
      </c>
      <c r="K158" s="4">
        <v>2005</v>
      </c>
      <c r="M158" s="5"/>
      <c r="O158" s="4">
        <v>7.8125E-2</v>
      </c>
      <c r="P158" s="4">
        <v>7.8125E-2</v>
      </c>
      <c r="Q158" s="4">
        <f>(P158-P157)/P157</f>
        <v>6.8125</v>
      </c>
      <c r="R158" s="4">
        <v>19</v>
      </c>
      <c r="S158" s="3">
        <v>38497</v>
      </c>
      <c r="T158" s="2">
        <f>IF(N158&gt;0,1,0)</f>
        <v>0</v>
      </c>
    </row>
    <row r="159" spans="1:20" x14ac:dyDescent="0.2">
      <c r="A159" s="6">
        <v>158</v>
      </c>
      <c r="B159" s="3">
        <v>38505</v>
      </c>
      <c r="C159" s="4">
        <v>0.20481771748099101</v>
      </c>
      <c r="D159" s="4">
        <v>0.25130564967791202</v>
      </c>
      <c r="E159" s="4">
        <v>188</v>
      </c>
      <c r="F159" s="4">
        <v>20</v>
      </c>
      <c r="G159" s="4">
        <v>28.2023177083333</v>
      </c>
      <c r="H159" s="4">
        <v>0.10638297872340401</v>
      </c>
      <c r="I159" s="4">
        <v>0.11111111111111099</v>
      </c>
      <c r="J159" s="4">
        <v>6</v>
      </c>
      <c r="K159" s="4">
        <v>2005</v>
      </c>
      <c r="M159" s="5" t="s">
        <v>7</v>
      </c>
      <c r="O159" s="4">
        <v>0.10638297872340401</v>
      </c>
      <c r="P159" s="4">
        <v>0.10638297872340401</v>
      </c>
      <c r="Q159" s="4">
        <f>(P159-P158)/P158</f>
        <v>0.36170212765957127</v>
      </c>
      <c r="R159" s="4">
        <v>20</v>
      </c>
      <c r="S159" s="3">
        <v>38505</v>
      </c>
      <c r="T159" s="2">
        <f>IF(N159&gt;0,1,0)</f>
        <v>0</v>
      </c>
    </row>
    <row r="160" spans="1:20" x14ac:dyDescent="0.2">
      <c r="A160" s="6">
        <v>159</v>
      </c>
      <c r="B160" s="3">
        <v>38513</v>
      </c>
      <c r="C160" s="4">
        <v>0.21543285261232001</v>
      </c>
      <c r="D160" s="4">
        <v>0.17192304879427001</v>
      </c>
      <c r="E160" s="4">
        <v>180</v>
      </c>
      <c r="F160" s="4">
        <v>20</v>
      </c>
      <c r="G160" s="4">
        <v>27.702343750000001</v>
      </c>
      <c r="H160" s="4">
        <v>0.11111111111111099</v>
      </c>
      <c r="I160" s="4">
        <v>0.66847826086956497</v>
      </c>
      <c r="J160" s="4">
        <v>6</v>
      </c>
      <c r="K160" s="4">
        <v>2005</v>
      </c>
      <c r="M160" s="5"/>
      <c r="O160" s="4">
        <v>0.11111111111111099</v>
      </c>
      <c r="P160" s="4">
        <v>0.11111111111111099</v>
      </c>
      <c r="Q160" s="4">
        <f>(P160-P159)/P159</f>
        <v>4.4444444444445785E-2</v>
      </c>
      <c r="R160" s="4">
        <v>21</v>
      </c>
      <c r="S160" s="3">
        <v>38513</v>
      </c>
      <c r="T160" s="2">
        <f>IF(N160&gt;0,1,0)</f>
        <v>0</v>
      </c>
    </row>
    <row r="161" spans="1:20" x14ac:dyDescent="0.2">
      <c r="A161" s="6">
        <v>160</v>
      </c>
      <c r="B161" s="3">
        <v>38521</v>
      </c>
      <c r="C161" s="4">
        <v>0.22086479050608801</v>
      </c>
      <c r="D161" s="4">
        <v>0.161768746376038</v>
      </c>
      <c r="E161" s="4">
        <v>184</v>
      </c>
      <c r="F161" s="4">
        <v>123</v>
      </c>
      <c r="G161" s="4">
        <v>27.7656510416667</v>
      </c>
      <c r="H161" s="4">
        <v>0.66847826086956497</v>
      </c>
      <c r="I161" s="4">
        <v>0.173913043478261</v>
      </c>
      <c r="J161" s="4">
        <v>6</v>
      </c>
      <c r="K161" s="4">
        <v>2005</v>
      </c>
      <c r="M161" s="5"/>
      <c r="O161" s="4">
        <v>0.66847826086956497</v>
      </c>
      <c r="P161" s="4">
        <v>0.66847826086956497</v>
      </c>
      <c r="Q161" s="4">
        <f>(P161-P160)/P160</f>
        <v>5.0163043478260914</v>
      </c>
      <c r="R161" s="4">
        <v>22</v>
      </c>
      <c r="S161" s="3">
        <v>38521</v>
      </c>
      <c r="T161" s="2">
        <f>IF(N161&gt;0,1,0)</f>
        <v>0</v>
      </c>
    </row>
    <row r="162" spans="1:20" x14ac:dyDescent="0.2">
      <c r="A162" s="6">
        <v>161</v>
      </c>
      <c r="B162" s="3">
        <v>38529</v>
      </c>
      <c r="C162" s="4">
        <v>0.18582481011334401</v>
      </c>
      <c r="D162" s="4">
        <v>0.15161533405383401</v>
      </c>
      <c r="E162" s="4">
        <v>184</v>
      </c>
      <c r="F162" s="4">
        <v>32</v>
      </c>
      <c r="G162" s="4">
        <v>27.645546875000001</v>
      </c>
      <c r="H162" s="4">
        <v>0.173913043478261</v>
      </c>
      <c r="I162" s="4">
        <v>0.104166666666667</v>
      </c>
      <c r="J162" s="4">
        <v>6</v>
      </c>
      <c r="K162" s="4">
        <v>2005</v>
      </c>
      <c r="M162" s="5"/>
      <c r="O162" s="4">
        <v>0.173913043478261</v>
      </c>
      <c r="P162" s="4">
        <v>0.173913043478261</v>
      </c>
      <c r="Q162" s="4">
        <f>(P162-P161)/P161</f>
        <v>-0.73983739837398343</v>
      </c>
      <c r="R162" s="4">
        <v>23</v>
      </c>
      <c r="S162" s="3">
        <v>38529</v>
      </c>
      <c r="T162" s="2">
        <f>IF(N162&gt;0,1,0)</f>
        <v>0</v>
      </c>
    </row>
    <row r="163" spans="1:20" x14ac:dyDescent="0.2">
      <c r="A163" s="6">
        <v>162</v>
      </c>
      <c r="B163" s="3">
        <v>38537</v>
      </c>
      <c r="C163" s="4" t="s">
        <v>0</v>
      </c>
      <c r="D163" s="4" t="s">
        <v>0</v>
      </c>
      <c r="E163" s="4">
        <v>192</v>
      </c>
      <c r="F163" s="4">
        <v>20</v>
      </c>
      <c r="G163" s="4">
        <v>27.278411458333299</v>
      </c>
      <c r="H163" s="4">
        <v>0.104166666666667</v>
      </c>
      <c r="I163" s="4">
        <v>3.7234042553191501E-2</v>
      </c>
      <c r="J163" s="4">
        <v>7</v>
      </c>
      <c r="K163" s="4">
        <v>2005</v>
      </c>
      <c r="M163" s="5" t="s">
        <v>6</v>
      </c>
      <c r="O163" s="4">
        <v>0.104166666666667</v>
      </c>
      <c r="P163" s="4">
        <v>0.104166666666667</v>
      </c>
      <c r="Q163" s="4">
        <f>(P163-P162)/P162</f>
        <v>-0.40104166666666519</v>
      </c>
      <c r="R163" s="4">
        <v>24</v>
      </c>
      <c r="S163" s="3">
        <v>38537</v>
      </c>
      <c r="T163" s="2">
        <f>IF(N163&gt;0,1,0)</f>
        <v>0</v>
      </c>
    </row>
    <row r="164" spans="1:20" x14ac:dyDescent="0.2">
      <c r="A164" s="6">
        <v>163</v>
      </c>
      <c r="B164" s="3">
        <v>38545</v>
      </c>
      <c r="C164" s="4">
        <v>0.182401387772539</v>
      </c>
      <c r="D164" s="4">
        <v>0.158250128229459</v>
      </c>
      <c r="E164" s="4">
        <v>188</v>
      </c>
      <c r="F164" s="4">
        <v>7</v>
      </c>
      <c r="G164" s="4">
        <v>27.3870572916667</v>
      </c>
      <c r="H164" s="4">
        <v>3.7234042553191501E-2</v>
      </c>
      <c r="I164" s="4">
        <v>2.0833333333333301E-2</v>
      </c>
      <c r="J164" s="4">
        <v>7</v>
      </c>
      <c r="K164" s="4">
        <v>2005</v>
      </c>
      <c r="M164" s="5"/>
      <c r="O164" s="4">
        <v>3.7234042553191501E-2</v>
      </c>
      <c r="P164" s="4">
        <v>3.7234042553191501E-2</v>
      </c>
      <c r="Q164" s="4">
        <f>(P164-P163)/P163</f>
        <v>-0.64255319148936274</v>
      </c>
      <c r="R164" s="4">
        <v>25</v>
      </c>
      <c r="S164" s="3">
        <v>38545</v>
      </c>
      <c r="T164" s="2">
        <f>IF(N164&gt;0,1,0)</f>
        <v>0</v>
      </c>
    </row>
    <row r="165" spans="1:20" x14ac:dyDescent="0.2">
      <c r="A165" s="6">
        <v>164</v>
      </c>
      <c r="B165" s="3">
        <v>38553</v>
      </c>
      <c r="C165" s="4">
        <v>0.18215865507307999</v>
      </c>
      <c r="D165" s="4">
        <v>0.15901061892509499</v>
      </c>
      <c r="E165" s="4">
        <v>192</v>
      </c>
      <c r="F165" s="4">
        <v>4</v>
      </c>
      <c r="G165" s="4">
        <v>27.435312499999998</v>
      </c>
      <c r="H165" s="4">
        <v>2.0833333333333301E-2</v>
      </c>
      <c r="I165" s="4">
        <v>3.8043478260869602E-2</v>
      </c>
      <c r="J165" s="4">
        <v>7</v>
      </c>
      <c r="K165" s="4">
        <v>2005</v>
      </c>
      <c r="M165" s="5"/>
      <c r="O165" s="4">
        <v>2.0833333333333301E-2</v>
      </c>
      <c r="P165" s="4">
        <v>2.0833333333333301E-2</v>
      </c>
      <c r="Q165" s="4">
        <f>(P165-P164)/P164</f>
        <v>-0.44047619047619152</v>
      </c>
      <c r="R165" s="4">
        <v>26</v>
      </c>
      <c r="S165" s="3">
        <v>38553</v>
      </c>
      <c r="T165" s="2">
        <f>IF(N165&gt;0,1,0)</f>
        <v>0</v>
      </c>
    </row>
    <row r="166" spans="1:20" x14ac:dyDescent="0.2">
      <c r="A166" s="6">
        <v>165</v>
      </c>
      <c r="B166" s="3">
        <v>38561</v>
      </c>
      <c r="C166" s="4">
        <v>0.16323992535471901</v>
      </c>
      <c r="D166" s="4">
        <v>0.168647813796997</v>
      </c>
      <c r="E166" s="4">
        <v>184</v>
      </c>
      <c r="F166" s="4">
        <v>7</v>
      </c>
      <c r="G166" s="4">
        <v>27.4034895833333</v>
      </c>
      <c r="H166" s="4">
        <v>3.8043478260869602E-2</v>
      </c>
      <c r="I166" s="4">
        <v>0</v>
      </c>
      <c r="J166" s="4">
        <v>7</v>
      </c>
      <c r="K166" s="4">
        <v>2005</v>
      </c>
      <c r="M166" s="5"/>
      <c r="O166" s="4">
        <v>3.8043478260869602E-2</v>
      </c>
      <c r="P166" s="4">
        <v>3.8043478260869602E-2</v>
      </c>
      <c r="Q166" s="4">
        <f>(P166-P165)/P165</f>
        <v>0.8260869565217438</v>
      </c>
      <c r="R166" s="4">
        <v>27</v>
      </c>
      <c r="S166" s="3">
        <v>38561</v>
      </c>
      <c r="T166" s="2">
        <f>IF(N166&gt;0,1,0)</f>
        <v>0</v>
      </c>
    </row>
    <row r="167" spans="1:20" x14ac:dyDescent="0.2">
      <c r="A167" s="6">
        <v>166</v>
      </c>
      <c r="B167" s="3">
        <v>38569</v>
      </c>
      <c r="C167" s="4">
        <v>0.172532043164283</v>
      </c>
      <c r="D167" s="4">
        <v>0.15885368734598199</v>
      </c>
      <c r="E167" s="4">
        <v>186.5</v>
      </c>
      <c r="F167" s="4">
        <v>0</v>
      </c>
      <c r="G167" s="4">
        <v>27.47296875</v>
      </c>
      <c r="H167" s="4">
        <v>0</v>
      </c>
      <c r="I167" s="4">
        <v>1.6313213703099499E-2</v>
      </c>
      <c r="J167" s="4">
        <v>8</v>
      </c>
      <c r="K167" s="4">
        <v>2005</v>
      </c>
      <c r="M167" s="5" t="s">
        <v>5</v>
      </c>
      <c r="O167" s="4">
        <v>0.01</v>
      </c>
      <c r="P167" s="4">
        <v>0.01</v>
      </c>
      <c r="Q167" s="4">
        <f>(P167-P166)/P166</f>
        <v>-0.73714285714285732</v>
      </c>
      <c r="R167" s="4">
        <v>28</v>
      </c>
      <c r="S167" s="3">
        <v>38569</v>
      </c>
      <c r="T167" s="2">
        <f>IF(N167&gt;0,1,0)</f>
        <v>0</v>
      </c>
    </row>
    <row r="168" spans="1:20" x14ac:dyDescent="0.2">
      <c r="A168" s="6">
        <v>167</v>
      </c>
      <c r="B168" s="3">
        <v>38577</v>
      </c>
      <c r="C168" s="4">
        <v>0.184306824838536</v>
      </c>
      <c r="D168" s="4">
        <v>0.18230332434177399</v>
      </c>
      <c r="E168" s="4">
        <v>183.9</v>
      </c>
      <c r="F168" s="4">
        <v>3</v>
      </c>
      <c r="G168" s="4">
        <v>27.4272395833333</v>
      </c>
      <c r="H168" s="4">
        <v>1.6313213703099499E-2</v>
      </c>
      <c r="I168" s="4">
        <v>0</v>
      </c>
      <c r="J168" s="4">
        <v>8</v>
      </c>
      <c r="K168" s="4">
        <v>2005</v>
      </c>
      <c r="M168" s="5"/>
      <c r="O168" s="4">
        <v>1.6313213703099499E-2</v>
      </c>
      <c r="P168" s="4">
        <v>1.6313213703099499E-2</v>
      </c>
      <c r="Q168" s="4">
        <f>(P168-P167)/P167</f>
        <v>0.63132137030994984</v>
      </c>
      <c r="R168" s="4">
        <v>29</v>
      </c>
      <c r="S168" s="3">
        <v>38577</v>
      </c>
      <c r="T168" s="2">
        <f>IF(N168&gt;0,1,0)</f>
        <v>0</v>
      </c>
    </row>
    <row r="169" spans="1:20" x14ac:dyDescent="0.2">
      <c r="A169" s="6">
        <v>168</v>
      </c>
      <c r="B169" s="3">
        <v>38585</v>
      </c>
      <c r="C169" s="4">
        <v>0.15928860649813101</v>
      </c>
      <c r="D169" s="4">
        <v>0.15293183426062301</v>
      </c>
      <c r="E169" s="4">
        <v>183.9</v>
      </c>
      <c r="F169" s="4">
        <v>0</v>
      </c>
      <c r="G169" s="4">
        <v>27.354765624999999</v>
      </c>
      <c r="H169" s="4">
        <v>0</v>
      </c>
      <c r="I169" s="4">
        <v>7.2916666666666699E-2</v>
      </c>
      <c r="J169" s="4">
        <v>8</v>
      </c>
      <c r="K169" s="4">
        <v>2005</v>
      </c>
      <c r="M169" s="5"/>
      <c r="O169" s="4">
        <v>0.01</v>
      </c>
      <c r="P169" s="4">
        <v>0.01</v>
      </c>
      <c r="Q169" s="4">
        <f>(P169-P168)/P168</f>
        <v>-0.38699999999999957</v>
      </c>
      <c r="R169" s="4">
        <v>30</v>
      </c>
      <c r="S169" s="3">
        <v>38585</v>
      </c>
      <c r="T169" s="2">
        <f>IF(N169&gt;0,1,0)</f>
        <v>0</v>
      </c>
    </row>
    <row r="170" spans="1:20" x14ac:dyDescent="0.2">
      <c r="A170" s="6">
        <v>169</v>
      </c>
      <c r="B170" s="3">
        <v>38593</v>
      </c>
      <c r="C170" s="4">
        <v>0.33048447767893502</v>
      </c>
      <c r="D170" s="4">
        <v>0.27336151152849197</v>
      </c>
      <c r="E170" s="4">
        <v>192</v>
      </c>
      <c r="F170" s="4">
        <v>14</v>
      </c>
      <c r="G170" s="4">
        <v>27.024374999999999</v>
      </c>
      <c r="H170" s="4">
        <v>7.2916666666666699E-2</v>
      </c>
      <c r="I170" s="4">
        <v>0.97340425531914898</v>
      </c>
      <c r="J170" s="4">
        <v>8</v>
      </c>
      <c r="K170" s="4">
        <v>2005</v>
      </c>
      <c r="M170" s="5"/>
      <c r="O170" s="4">
        <v>7.2916666666666699E-2</v>
      </c>
      <c r="P170" s="4">
        <v>7.2916666666666699E-2</v>
      </c>
      <c r="Q170" s="4">
        <f>(P170-P169)/P169</f>
        <v>6.2916666666666705</v>
      </c>
      <c r="R170" s="4">
        <v>31</v>
      </c>
      <c r="S170" s="3">
        <v>38593</v>
      </c>
      <c r="T170" s="2">
        <f>IF(N170&gt;0,1,0)</f>
        <v>0</v>
      </c>
    </row>
    <row r="171" spans="1:20" x14ac:dyDescent="0.2">
      <c r="A171" s="6">
        <v>170</v>
      </c>
      <c r="B171" s="10">
        <v>38601</v>
      </c>
      <c r="C171" s="4">
        <v>0.168982750388669</v>
      </c>
      <c r="D171" s="4">
        <v>0.14089166124661801</v>
      </c>
      <c r="E171" s="4">
        <v>188</v>
      </c>
      <c r="F171" s="4">
        <v>183</v>
      </c>
      <c r="G171" s="4">
        <v>27.596875000000001</v>
      </c>
      <c r="H171" s="4">
        <v>0.97340425531914898</v>
      </c>
      <c r="I171" s="4">
        <v>0.97395833333333304</v>
      </c>
      <c r="J171" s="4">
        <v>9</v>
      </c>
      <c r="K171" s="4">
        <v>2005</v>
      </c>
      <c r="M171" s="5" t="s">
        <v>4</v>
      </c>
      <c r="N171" s="4">
        <v>0.97340425531914898</v>
      </c>
      <c r="P171" s="4">
        <v>0.97340425531914898</v>
      </c>
      <c r="Q171" s="9">
        <f>(P171-P170)/P170</f>
        <v>12.349544072948323</v>
      </c>
      <c r="R171" s="4">
        <v>32</v>
      </c>
      <c r="S171" s="10">
        <v>38601</v>
      </c>
      <c r="T171" s="2">
        <f>IF(N171&gt;0,1,0)</f>
        <v>1</v>
      </c>
    </row>
    <row r="172" spans="1:20" x14ac:dyDescent="0.2">
      <c r="A172" s="6">
        <v>171</v>
      </c>
      <c r="B172" s="3">
        <v>38609</v>
      </c>
      <c r="C172" s="4">
        <v>0.143442406267342</v>
      </c>
      <c r="D172" s="4">
        <v>0.131379428009192</v>
      </c>
      <c r="E172" s="4">
        <v>192</v>
      </c>
      <c r="F172" s="4">
        <v>187</v>
      </c>
      <c r="G172" s="4">
        <v>27.920468750000001</v>
      </c>
      <c r="H172" s="4">
        <v>0.97395833333333304</v>
      </c>
      <c r="I172" s="4">
        <v>1</v>
      </c>
      <c r="J172" s="4">
        <v>9</v>
      </c>
      <c r="K172" s="4">
        <v>2005</v>
      </c>
      <c r="M172" s="5"/>
      <c r="N172" s="4">
        <v>0.97395833333333304</v>
      </c>
      <c r="P172" s="4">
        <v>0.97395833333333304</v>
      </c>
      <c r="Q172" s="4">
        <f>(P172-P171)/P171</f>
        <v>5.6921675774099765E-4</v>
      </c>
      <c r="R172" s="4">
        <v>33</v>
      </c>
      <c r="S172" s="3">
        <v>38609</v>
      </c>
      <c r="T172" s="2">
        <f>IF(N172&gt;0,1,0)</f>
        <v>1</v>
      </c>
    </row>
    <row r="173" spans="1:20" x14ac:dyDescent="0.2">
      <c r="A173" s="6">
        <v>172</v>
      </c>
      <c r="B173" s="3">
        <v>38617</v>
      </c>
      <c r="C173" s="4">
        <v>0.10658446683858799</v>
      </c>
      <c r="D173" s="4">
        <v>9.1838195919990498E-2</v>
      </c>
      <c r="E173" s="4">
        <v>188</v>
      </c>
      <c r="F173" s="4">
        <v>188</v>
      </c>
      <c r="G173" s="4">
        <v>28.016145833333301</v>
      </c>
      <c r="H173" s="4">
        <v>1</v>
      </c>
      <c r="I173" s="4">
        <v>0.9375</v>
      </c>
      <c r="J173" s="4">
        <v>9</v>
      </c>
      <c r="K173" s="4">
        <v>2005</v>
      </c>
      <c r="M173" s="5"/>
      <c r="N173" s="4">
        <v>1</v>
      </c>
      <c r="P173" s="4">
        <v>1</v>
      </c>
      <c r="Q173" s="4">
        <f>(P173-P172)/P172</f>
        <v>2.6737967914438814E-2</v>
      </c>
      <c r="R173" s="4">
        <v>34</v>
      </c>
      <c r="S173" s="3">
        <v>38617</v>
      </c>
      <c r="T173" s="2">
        <f>IF(N173&gt;0,1,0)</f>
        <v>1</v>
      </c>
    </row>
    <row r="174" spans="1:20" x14ac:dyDescent="0.2">
      <c r="A174" s="6">
        <v>173</v>
      </c>
      <c r="B174" s="3">
        <v>38625</v>
      </c>
      <c r="C174" s="4">
        <v>0.18970530935459701</v>
      </c>
      <c r="D174" s="4">
        <v>0.173005012174447</v>
      </c>
      <c r="E174" s="4">
        <v>192</v>
      </c>
      <c r="F174" s="4">
        <v>180</v>
      </c>
      <c r="G174" s="4">
        <v>27.884453125</v>
      </c>
      <c r="H174" s="4">
        <v>0.9375</v>
      </c>
      <c r="I174" s="4">
        <v>0.984375</v>
      </c>
      <c r="J174" s="4">
        <v>9</v>
      </c>
      <c r="K174" s="4">
        <v>2005</v>
      </c>
      <c r="M174" s="5"/>
      <c r="N174" s="4">
        <v>0.9375</v>
      </c>
      <c r="P174" s="4">
        <v>0.9375</v>
      </c>
      <c r="Q174" s="4">
        <f>(P174-P173)/P173</f>
        <v>-6.25E-2</v>
      </c>
      <c r="R174" s="4">
        <v>35</v>
      </c>
      <c r="S174" s="3">
        <v>38625</v>
      </c>
      <c r="T174" s="2">
        <f>IF(N174&gt;0,1,0)</f>
        <v>1</v>
      </c>
    </row>
    <row r="175" spans="1:20" x14ac:dyDescent="0.2">
      <c r="A175" s="6">
        <v>174</v>
      </c>
      <c r="B175" s="3">
        <v>38633</v>
      </c>
      <c r="C175" s="4">
        <v>0.144135124463102</v>
      </c>
      <c r="D175" s="4">
        <v>0.13577174519499099</v>
      </c>
      <c r="E175" s="4">
        <v>192</v>
      </c>
      <c r="F175" s="4">
        <v>189</v>
      </c>
      <c r="G175" s="4">
        <v>27.8507552083333</v>
      </c>
      <c r="H175" s="4">
        <v>0.984375</v>
      </c>
      <c r="I175" s="4">
        <v>0.99479166666666696</v>
      </c>
      <c r="J175" s="4">
        <v>10</v>
      </c>
      <c r="K175" s="4">
        <v>2005</v>
      </c>
      <c r="M175" s="5" t="s">
        <v>3</v>
      </c>
      <c r="N175" s="4">
        <v>0.984375</v>
      </c>
      <c r="P175" s="4">
        <v>0.984375</v>
      </c>
      <c r="Q175" s="4">
        <f>(P175-P174)/P174</f>
        <v>0.05</v>
      </c>
      <c r="R175" s="4">
        <v>36</v>
      </c>
      <c r="S175" s="3">
        <v>38633</v>
      </c>
      <c r="T175" s="2">
        <f>IF(N175&gt;0,1,0)</f>
        <v>1</v>
      </c>
    </row>
    <row r="176" spans="1:20" x14ac:dyDescent="0.2">
      <c r="A176" s="6">
        <v>175</v>
      </c>
      <c r="B176" s="3">
        <v>38641</v>
      </c>
      <c r="C176" s="4">
        <v>0.150156193523557</v>
      </c>
      <c r="D176" s="4">
        <v>0.124424628913403</v>
      </c>
      <c r="E176" s="4">
        <v>192</v>
      </c>
      <c r="F176" s="4">
        <v>191</v>
      </c>
      <c r="G176" s="4">
        <v>27.8063020833333</v>
      </c>
      <c r="H176" s="4">
        <v>0.99479166666666696</v>
      </c>
      <c r="I176" s="4">
        <v>0.99478895257946798</v>
      </c>
      <c r="J176" s="4">
        <v>10</v>
      </c>
      <c r="K176" s="4">
        <v>2005</v>
      </c>
      <c r="M176" s="5"/>
      <c r="N176" s="4">
        <v>0.99479166666666696</v>
      </c>
      <c r="P176" s="4">
        <v>0.99479166666666696</v>
      </c>
      <c r="Q176" s="4">
        <f>(P176-P175)/P175</f>
        <v>1.0582010582010883E-2</v>
      </c>
      <c r="R176" s="4">
        <v>37</v>
      </c>
      <c r="S176" s="3">
        <v>38641</v>
      </c>
      <c r="T176" s="2">
        <f>IF(N176&gt;0,1,0)</f>
        <v>1</v>
      </c>
    </row>
    <row r="177" spans="1:20" x14ac:dyDescent="0.2">
      <c r="A177" s="6">
        <v>176</v>
      </c>
      <c r="B177" s="3">
        <v>38649</v>
      </c>
      <c r="C177" s="4">
        <v>0.198845873462657</v>
      </c>
      <c r="D177" s="4">
        <v>0.17859887083371501</v>
      </c>
      <c r="E177" s="4">
        <v>191.9</v>
      </c>
      <c r="F177" s="4">
        <v>190.9</v>
      </c>
      <c r="G177" s="4">
        <v>27.756536458333301</v>
      </c>
      <c r="H177" s="4">
        <v>0.99478895257946798</v>
      </c>
      <c r="I177" s="4">
        <v>0.86979166666666696</v>
      </c>
      <c r="J177" s="4">
        <v>10</v>
      </c>
      <c r="K177" s="4">
        <v>2005</v>
      </c>
      <c r="M177" s="5"/>
      <c r="N177" s="4">
        <v>0.99478895257946798</v>
      </c>
      <c r="P177" s="4">
        <v>0.99478895257946798</v>
      </c>
      <c r="Q177" s="4">
        <f>(P177-P176)/P176</f>
        <v>-2.7282970796079845E-6</v>
      </c>
      <c r="R177" s="4">
        <v>38</v>
      </c>
      <c r="S177" s="3">
        <v>38649</v>
      </c>
      <c r="T177" s="2">
        <f>IF(N177&gt;0,1,0)</f>
        <v>1</v>
      </c>
    </row>
    <row r="178" spans="1:20" x14ac:dyDescent="0.2">
      <c r="A178" s="6">
        <v>177</v>
      </c>
      <c r="B178" s="3">
        <v>38657</v>
      </c>
      <c r="C178" s="4">
        <v>0.14845508560538301</v>
      </c>
      <c r="D178" s="4" t="s">
        <v>0</v>
      </c>
      <c r="E178" s="4">
        <v>192</v>
      </c>
      <c r="F178" s="4">
        <v>167</v>
      </c>
      <c r="G178" s="4">
        <v>27.5488020833333</v>
      </c>
      <c r="H178" s="4">
        <v>0.86979166666666696</v>
      </c>
      <c r="I178" s="4">
        <v>0.36979166666666702</v>
      </c>
      <c r="J178" s="4">
        <v>11</v>
      </c>
      <c r="K178" s="4">
        <v>2005</v>
      </c>
      <c r="M178" s="5" t="s">
        <v>2</v>
      </c>
      <c r="N178" s="4">
        <v>0.86979166666666696</v>
      </c>
      <c r="P178" s="4">
        <v>0.86979166666666696</v>
      </c>
      <c r="Q178" s="4">
        <f>(P178-P177)/P177</f>
        <v>-0.12565206478086186</v>
      </c>
      <c r="R178" s="4">
        <v>39</v>
      </c>
      <c r="S178" s="3">
        <v>38657</v>
      </c>
      <c r="T178" s="2">
        <f>IF(N178&gt;0,1,0)</f>
        <v>1</v>
      </c>
    </row>
    <row r="179" spans="1:20" x14ac:dyDescent="0.2">
      <c r="A179" s="6">
        <v>178</v>
      </c>
      <c r="B179" s="10">
        <v>38665</v>
      </c>
      <c r="C179" s="4">
        <v>0.28862791063470999</v>
      </c>
      <c r="D179" s="4">
        <v>0.28193344672520998</v>
      </c>
      <c r="E179" s="4">
        <v>192</v>
      </c>
      <c r="F179" s="4">
        <v>71</v>
      </c>
      <c r="G179" s="4">
        <v>27.988515625000002</v>
      </c>
      <c r="H179" s="4">
        <v>0.36979166666666702</v>
      </c>
      <c r="I179" s="4">
        <v>6.25E-2</v>
      </c>
      <c r="J179" s="4">
        <v>11</v>
      </c>
      <c r="K179" s="4">
        <v>2005</v>
      </c>
      <c r="M179" s="5"/>
      <c r="N179" s="4">
        <v>0.36979166666666702</v>
      </c>
      <c r="P179" s="4">
        <v>0.36979166666666702</v>
      </c>
      <c r="Q179" s="4">
        <f>(P179-P178)/P178</f>
        <v>-0.57485029940119736</v>
      </c>
      <c r="R179" s="4">
        <v>40</v>
      </c>
      <c r="S179" s="10">
        <v>38665</v>
      </c>
      <c r="T179" s="2">
        <f>IF(N179&gt;0,1,0)</f>
        <v>1</v>
      </c>
    </row>
    <row r="180" spans="1:20" x14ac:dyDescent="0.2">
      <c r="A180" s="6">
        <v>179</v>
      </c>
      <c r="B180" s="3">
        <v>38673</v>
      </c>
      <c r="C180" s="4">
        <v>0.202801945826246</v>
      </c>
      <c r="D180" s="4">
        <v>0.20092709859212199</v>
      </c>
      <c r="E180" s="4">
        <v>192</v>
      </c>
      <c r="F180" s="4">
        <v>12</v>
      </c>
      <c r="G180" s="4">
        <v>28.0063541666667</v>
      </c>
      <c r="H180" s="4">
        <v>6.25E-2</v>
      </c>
      <c r="I180" s="4">
        <v>5.7291666666666699E-2</v>
      </c>
      <c r="J180" s="4">
        <v>11</v>
      </c>
      <c r="K180" s="4">
        <v>2005</v>
      </c>
      <c r="M180" s="5"/>
      <c r="O180" s="4">
        <v>6.25E-2</v>
      </c>
      <c r="P180" s="4">
        <v>6.25E-2</v>
      </c>
      <c r="Q180" s="9">
        <f>(P180-P179)/P179</f>
        <v>-0.83098591549295786</v>
      </c>
      <c r="R180" s="4">
        <v>41</v>
      </c>
      <c r="S180" s="3">
        <v>38673</v>
      </c>
      <c r="T180" s="2">
        <f>IF(N180&gt;0,1,0)</f>
        <v>0</v>
      </c>
    </row>
    <row r="181" spans="1:20" x14ac:dyDescent="0.2">
      <c r="A181" s="6">
        <v>180</v>
      </c>
      <c r="B181" s="3">
        <v>38681</v>
      </c>
      <c r="C181" s="4">
        <v>0.19484637139572</v>
      </c>
      <c r="D181" s="4">
        <v>0.19057300686836201</v>
      </c>
      <c r="E181" s="4">
        <v>192</v>
      </c>
      <c r="F181" s="4">
        <v>11</v>
      </c>
      <c r="G181" s="4">
        <v>28.2335677083334</v>
      </c>
      <c r="H181" s="4">
        <v>5.7291666666666699E-2</v>
      </c>
      <c r="I181" s="4">
        <v>2.0833333333333301E-2</v>
      </c>
      <c r="J181" s="4">
        <v>11</v>
      </c>
      <c r="K181" s="4">
        <v>2005</v>
      </c>
      <c r="M181" s="5"/>
      <c r="O181" s="4">
        <v>5.7291666666666699E-2</v>
      </c>
      <c r="P181" s="4">
        <v>5.7291666666666699E-2</v>
      </c>
      <c r="Q181" s="4">
        <f>(P181-P180)/P180</f>
        <v>-8.3333333333332815E-2</v>
      </c>
      <c r="R181" s="4">
        <v>42</v>
      </c>
      <c r="S181" s="3">
        <v>38681</v>
      </c>
      <c r="T181" s="2">
        <f>IF(N181&gt;0,1,0)</f>
        <v>0</v>
      </c>
    </row>
    <row r="182" spans="1:20" x14ac:dyDescent="0.2">
      <c r="A182" s="6">
        <v>181</v>
      </c>
      <c r="B182" s="3">
        <v>38689</v>
      </c>
      <c r="C182" s="4">
        <v>0.20601053972696401</v>
      </c>
      <c r="D182" s="4">
        <v>0.18774983535210299</v>
      </c>
      <c r="E182" s="4">
        <v>192</v>
      </c>
      <c r="F182" s="4">
        <v>4</v>
      </c>
      <c r="G182" s="4">
        <v>28.116093750000001</v>
      </c>
      <c r="H182" s="4">
        <v>2.0833333333333301E-2</v>
      </c>
      <c r="I182" s="4">
        <v>2.6041666666666699E-2</v>
      </c>
      <c r="J182" s="4">
        <v>12</v>
      </c>
      <c r="K182" s="4">
        <v>2005</v>
      </c>
      <c r="M182" s="5" t="s">
        <v>1</v>
      </c>
      <c r="O182" s="4">
        <v>2.0833333333333301E-2</v>
      </c>
      <c r="P182" s="4">
        <v>2.0833333333333301E-2</v>
      </c>
      <c r="Q182" s="4">
        <f>(P182-P181)/P181</f>
        <v>-0.63636363636363713</v>
      </c>
      <c r="R182" s="4">
        <v>43</v>
      </c>
      <c r="S182" s="3">
        <v>38689</v>
      </c>
      <c r="T182" s="2">
        <f>IF(N182&gt;0,1,0)</f>
        <v>0</v>
      </c>
    </row>
    <row r="183" spans="1:20" x14ac:dyDescent="0.2">
      <c r="A183" s="6">
        <v>182</v>
      </c>
      <c r="B183" s="3">
        <v>38697</v>
      </c>
      <c r="C183" s="4">
        <v>0.23863797800408501</v>
      </c>
      <c r="D183" s="4">
        <v>0.249341291685899</v>
      </c>
      <c r="E183" s="4">
        <v>192</v>
      </c>
      <c r="F183" s="4">
        <v>5</v>
      </c>
      <c r="G183" s="4">
        <v>27.879843749999999</v>
      </c>
      <c r="H183" s="4">
        <v>2.6041666666666699E-2</v>
      </c>
      <c r="I183" s="4">
        <v>4.6972860125261001E-2</v>
      </c>
      <c r="J183" s="4">
        <v>12</v>
      </c>
      <c r="K183" s="4">
        <v>2005</v>
      </c>
      <c r="M183" s="5"/>
      <c r="O183" s="4">
        <v>2.6041666666666699E-2</v>
      </c>
      <c r="P183" s="4">
        <v>2.6041666666666699E-2</v>
      </c>
      <c r="Q183" s="4">
        <f>(P183-P182)/P182</f>
        <v>0.2500000000000035</v>
      </c>
      <c r="R183" s="4">
        <v>44</v>
      </c>
      <c r="S183" s="3">
        <v>38697</v>
      </c>
      <c r="T183" s="2">
        <f>IF(N183&gt;0,1,0)</f>
        <v>0</v>
      </c>
    </row>
    <row r="184" spans="1:20" x14ac:dyDescent="0.2">
      <c r="A184" s="6">
        <v>183</v>
      </c>
      <c r="B184" s="3">
        <v>38705</v>
      </c>
      <c r="C184" s="4">
        <v>0.21146664271752</v>
      </c>
      <c r="D184" s="4">
        <v>0.22173624982436499</v>
      </c>
      <c r="E184" s="4">
        <v>191.6</v>
      </c>
      <c r="F184" s="4">
        <v>9</v>
      </c>
      <c r="G184" s="4">
        <v>27.6738020833333</v>
      </c>
      <c r="H184" s="4">
        <v>4.6972860125261001E-2</v>
      </c>
      <c r="I184" s="4">
        <v>1.6666666666666701E-2</v>
      </c>
      <c r="J184" s="4">
        <v>12</v>
      </c>
      <c r="K184" s="4">
        <v>2005</v>
      </c>
      <c r="M184" s="5"/>
      <c r="O184" s="4">
        <v>4.6972860125261001E-2</v>
      </c>
      <c r="P184" s="4">
        <v>4.6972860125261001E-2</v>
      </c>
      <c r="Q184" s="4">
        <f>(P184-P183)/P183</f>
        <v>0.80375782881002023</v>
      </c>
      <c r="R184" s="4">
        <v>45</v>
      </c>
      <c r="S184" s="3">
        <v>38705</v>
      </c>
      <c r="T184" s="2">
        <f>IF(N184&gt;0,1,0)</f>
        <v>0</v>
      </c>
    </row>
    <row r="185" spans="1:20" x14ac:dyDescent="0.2">
      <c r="A185" s="6">
        <v>184</v>
      </c>
      <c r="B185" s="3">
        <v>38713</v>
      </c>
      <c r="C185" s="4">
        <v>0.25750295134151702</v>
      </c>
      <c r="D185" s="4">
        <v>0.32431661089261399</v>
      </c>
      <c r="E185" s="4">
        <v>120</v>
      </c>
      <c r="F185" s="4">
        <v>2</v>
      </c>
      <c r="G185" s="4">
        <v>27.302</v>
      </c>
      <c r="H185" s="4">
        <v>1.6666666666666701E-2</v>
      </c>
      <c r="I185" s="4">
        <v>6.3424947145877403E-2</v>
      </c>
      <c r="J185" s="4">
        <v>12</v>
      </c>
      <c r="K185" s="4">
        <v>2005</v>
      </c>
      <c r="M185" s="5"/>
      <c r="O185" s="4">
        <v>1.6666666666666701E-2</v>
      </c>
      <c r="P185" s="4">
        <v>1.6666666666666701E-2</v>
      </c>
      <c r="Q185" s="4">
        <f>(P185-P184)/P184</f>
        <v>-0.64518518518518475</v>
      </c>
      <c r="R185" s="4">
        <v>46</v>
      </c>
      <c r="S185" s="3">
        <v>38713</v>
      </c>
      <c r="T185" s="2">
        <f>IF(N185&gt;0,1,0)</f>
        <v>0</v>
      </c>
    </row>
    <row r="186" spans="1:20" x14ac:dyDescent="0.2">
      <c r="A186" s="6">
        <v>185</v>
      </c>
      <c r="B186" s="3">
        <v>38718</v>
      </c>
      <c r="C186" s="4">
        <v>0.209078858551734</v>
      </c>
      <c r="D186" s="4">
        <v>0.21714923282464299</v>
      </c>
      <c r="E186" s="4">
        <v>189.2</v>
      </c>
      <c r="F186" s="4">
        <v>12</v>
      </c>
      <c r="G186" s="4">
        <v>27.396171875</v>
      </c>
      <c r="H186" s="4">
        <v>6.3424947145877403E-2</v>
      </c>
      <c r="I186" s="4">
        <v>0.13541666666666699</v>
      </c>
      <c r="J186" s="4">
        <v>1</v>
      </c>
      <c r="K186" s="4">
        <v>2006</v>
      </c>
      <c r="L186">
        <v>2006</v>
      </c>
      <c r="M186" s="5" t="s">
        <v>12</v>
      </c>
      <c r="O186" s="4">
        <v>6.3424947145877403E-2</v>
      </c>
      <c r="P186" s="4">
        <v>6.3424947145877403E-2</v>
      </c>
      <c r="Q186" s="4">
        <f>(P186-P185)/P185</f>
        <v>2.8054968287526361</v>
      </c>
      <c r="R186" s="4">
        <v>1</v>
      </c>
      <c r="S186" s="3">
        <v>38718</v>
      </c>
      <c r="T186" s="2">
        <f>IF(N186&gt;0,1,0)</f>
        <v>0</v>
      </c>
    </row>
    <row r="187" spans="1:20" x14ac:dyDescent="0.2">
      <c r="A187" s="6">
        <v>186</v>
      </c>
      <c r="B187" s="3">
        <v>38726</v>
      </c>
      <c r="C187" s="4">
        <v>0.20891058186276101</v>
      </c>
      <c r="D187" s="4">
        <v>0.19460784147183099</v>
      </c>
      <c r="E187" s="4">
        <v>192</v>
      </c>
      <c r="F187" s="4">
        <v>26</v>
      </c>
      <c r="G187" s="4">
        <v>28.058515624999998</v>
      </c>
      <c r="H187" s="4">
        <v>0.13541666666666699</v>
      </c>
      <c r="I187" s="4">
        <v>2.6041666666666699E-2</v>
      </c>
      <c r="J187" s="4">
        <v>1</v>
      </c>
      <c r="K187" s="4">
        <v>2006</v>
      </c>
      <c r="M187" s="5"/>
      <c r="O187" s="4">
        <v>0.13541666666666699</v>
      </c>
      <c r="P187" s="4">
        <v>0.13541666666666699</v>
      </c>
      <c r="Q187" s="4">
        <f>(P187-P186)/P186</f>
        <v>1.1350694444444487</v>
      </c>
      <c r="R187" s="4">
        <v>2</v>
      </c>
      <c r="S187" s="3">
        <v>38726</v>
      </c>
      <c r="T187" s="2">
        <f>IF(N187&gt;0,1,0)</f>
        <v>0</v>
      </c>
    </row>
    <row r="188" spans="1:20" x14ac:dyDescent="0.2">
      <c r="A188" s="6">
        <v>187</v>
      </c>
      <c r="B188" s="3">
        <v>38734</v>
      </c>
      <c r="C188" s="4">
        <v>0.206883134216898</v>
      </c>
      <c r="D188" s="4">
        <v>0.16892633587122</v>
      </c>
      <c r="E188" s="4">
        <v>192</v>
      </c>
      <c r="F188" s="4">
        <v>5</v>
      </c>
      <c r="G188" s="4">
        <v>28.1552604166667</v>
      </c>
      <c r="H188" s="4">
        <v>2.6041666666666699E-2</v>
      </c>
      <c r="I188" s="4">
        <v>3.6458333333333301E-2</v>
      </c>
      <c r="J188" s="4">
        <v>1</v>
      </c>
      <c r="K188" s="4">
        <v>2006</v>
      </c>
      <c r="M188" s="5"/>
      <c r="O188" s="4">
        <v>2.6041666666666699E-2</v>
      </c>
      <c r="P188" s="4">
        <v>2.6041666666666699E-2</v>
      </c>
      <c r="Q188" s="4">
        <f>(P188-P187)/P187</f>
        <v>-0.80769230769230793</v>
      </c>
      <c r="R188" s="4">
        <v>3</v>
      </c>
      <c r="S188" s="3">
        <v>38734</v>
      </c>
      <c r="T188" s="2">
        <f>IF(N188&gt;0,1,0)</f>
        <v>0</v>
      </c>
    </row>
    <row r="189" spans="1:20" x14ac:dyDescent="0.2">
      <c r="A189" s="6">
        <v>188</v>
      </c>
      <c r="B189" s="3">
        <v>38742</v>
      </c>
      <c r="C189" s="4">
        <v>0.224703135219083</v>
      </c>
      <c r="D189" s="4">
        <v>0.23603649437427501</v>
      </c>
      <c r="E189" s="4">
        <v>192</v>
      </c>
      <c r="F189" s="4">
        <v>7</v>
      </c>
      <c r="G189" s="4">
        <v>28.306093749999999</v>
      </c>
      <c r="H189" s="4">
        <v>3.6458333333333301E-2</v>
      </c>
      <c r="I189" s="4">
        <v>8.0472103004291806E-2</v>
      </c>
      <c r="J189" s="4">
        <v>1</v>
      </c>
      <c r="K189" s="4">
        <v>2006</v>
      </c>
      <c r="M189" s="5"/>
      <c r="O189" s="4">
        <v>3.6458333333333301E-2</v>
      </c>
      <c r="P189" s="4">
        <v>3.6458333333333301E-2</v>
      </c>
      <c r="Q189" s="4">
        <f>(P189-P188)/P188</f>
        <v>0.39999999999999702</v>
      </c>
      <c r="R189" s="4">
        <v>4</v>
      </c>
      <c r="S189" s="3">
        <v>38742</v>
      </c>
      <c r="T189" s="2">
        <f>IF(N189&gt;0,1,0)</f>
        <v>0</v>
      </c>
    </row>
    <row r="190" spans="1:20" x14ac:dyDescent="0.2">
      <c r="A190" s="6">
        <v>189</v>
      </c>
      <c r="B190" s="3">
        <v>38750</v>
      </c>
      <c r="C190" s="4">
        <v>0.14598462782386301</v>
      </c>
      <c r="D190" s="4">
        <v>0.137836943070094</v>
      </c>
      <c r="E190" s="4">
        <v>186.4</v>
      </c>
      <c r="F190" s="4">
        <v>15</v>
      </c>
      <c r="G190" s="4">
        <v>28.6240104166667</v>
      </c>
      <c r="H190" s="4">
        <v>8.0472103004291806E-2</v>
      </c>
      <c r="I190" s="4">
        <v>0.41275167785234901</v>
      </c>
      <c r="J190" s="4">
        <v>2</v>
      </c>
      <c r="K190" s="4">
        <v>2006</v>
      </c>
      <c r="M190" s="5" t="s">
        <v>11</v>
      </c>
      <c r="O190" s="4">
        <v>8.0472103004291806E-2</v>
      </c>
      <c r="P190" s="4">
        <v>8.0472103004291806E-2</v>
      </c>
      <c r="Q190" s="4">
        <f>(P190-P189)/P189</f>
        <v>1.2072348252605771</v>
      </c>
      <c r="R190" s="4">
        <v>5</v>
      </c>
      <c r="S190" s="3">
        <v>38750</v>
      </c>
      <c r="T190" s="2">
        <f>IF(N190&gt;0,1,0)</f>
        <v>0</v>
      </c>
    </row>
    <row r="191" spans="1:20" x14ac:dyDescent="0.2">
      <c r="A191" s="6">
        <v>190</v>
      </c>
      <c r="B191" s="3">
        <v>38758</v>
      </c>
      <c r="C191" s="4">
        <v>0.14592953543696099</v>
      </c>
      <c r="D191" s="4">
        <v>0.12417243421077701</v>
      </c>
      <c r="E191" s="4">
        <v>178.8</v>
      </c>
      <c r="F191" s="4">
        <v>73.8</v>
      </c>
      <c r="G191" s="4">
        <v>29.041744791666702</v>
      </c>
      <c r="H191" s="4">
        <v>0.41275167785234901</v>
      </c>
      <c r="I191" s="4">
        <v>2.0833333333333301E-2</v>
      </c>
      <c r="J191" s="4">
        <v>2</v>
      </c>
      <c r="K191" s="4">
        <v>2006</v>
      </c>
      <c r="M191" s="5"/>
      <c r="O191" s="4">
        <v>0.41275167785234901</v>
      </c>
      <c r="P191" s="4">
        <v>0.41275167785234901</v>
      </c>
      <c r="Q191" s="4">
        <f>(P191-P190)/P190</f>
        <v>4.1291275167785262</v>
      </c>
      <c r="R191" s="4">
        <v>6</v>
      </c>
      <c r="S191" s="3">
        <v>38758</v>
      </c>
      <c r="T191" s="2">
        <f>IF(N191&gt;0,1,0)</f>
        <v>0</v>
      </c>
    </row>
    <row r="192" spans="1:20" x14ac:dyDescent="0.2">
      <c r="A192" s="6">
        <v>191</v>
      </c>
      <c r="B192" s="3">
        <v>38766</v>
      </c>
      <c r="C192" s="4">
        <v>0.113672966521014</v>
      </c>
      <c r="D192" s="4">
        <v>0.11489520594477701</v>
      </c>
      <c r="E192" s="4">
        <v>192</v>
      </c>
      <c r="F192" s="4">
        <v>4</v>
      </c>
      <c r="G192" s="4">
        <v>28.912005208333401</v>
      </c>
      <c r="H192" s="4">
        <v>2.0833333333333301E-2</v>
      </c>
      <c r="I192" s="4">
        <v>2.0833333333333301E-2</v>
      </c>
      <c r="J192" s="4">
        <v>2</v>
      </c>
      <c r="K192" s="4">
        <v>2006</v>
      </c>
      <c r="M192" s="5"/>
      <c r="O192" s="4">
        <v>2.0833333333333301E-2</v>
      </c>
      <c r="P192" s="4">
        <v>2.0833333333333301E-2</v>
      </c>
      <c r="Q192" s="4">
        <f>(P192-P191)/P191</f>
        <v>-0.94952574525745259</v>
      </c>
      <c r="R192" s="4">
        <v>7</v>
      </c>
      <c r="S192" s="3">
        <v>38766</v>
      </c>
      <c r="T192" s="2">
        <f>IF(N192&gt;0,1,0)</f>
        <v>0</v>
      </c>
    </row>
    <row r="193" spans="1:20" x14ac:dyDescent="0.2">
      <c r="A193" s="6">
        <v>192</v>
      </c>
      <c r="B193" s="3">
        <v>38774</v>
      </c>
      <c r="C193" s="4">
        <v>0.14887948282476901</v>
      </c>
      <c r="D193" s="4">
        <v>0.14144476503133799</v>
      </c>
      <c r="E193" s="4">
        <v>192</v>
      </c>
      <c r="F193" s="4">
        <v>4</v>
      </c>
      <c r="G193" s="4">
        <v>29.013958333333299</v>
      </c>
      <c r="H193" s="4">
        <v>2.0833333333333301E-2</v>
      </c>
      <c r="I193" s="4">
        <v>0</v>
      </c>
      <c r="J193" s="4">
        <v>2</v>
      </c>
      <c r="K193" s="4">
        <v>2006</v>
      </c>
      <c r="M193" s="5"/>
      <c r="O193" s="4">
        <v>2.0833333333333301E-2</v>
      </c>
      <c r="P193" s="4">
        <v>2.0833333333333301E-2</v>
      </c>
      <c r="Q193" s="4">
        <f>(P193-P192)/P192</f>
        <v>0</v>
      </c>
      <c r="R193" s="4">
        <v>8</v>
      </c>
      <c r="S193" s="3">
        <v>38774</v>
      </c>
      <c r="T193" s="2">
        <f>IF(N193&gt;0,1,0)</f>
        <v>0</v>
      </c>
    </row>
    <row r="194" spans="1:20" x14ac:dyDescent="0.2">
      <c r="A194" s="6">
        <v>193</v>
      </c>
      <c r="B194" s="3">
        <v>38782</v>
      </c>
      <c r="C194" s="4">
        <v>0.11951119171364299</v>
      </c>
      <c r="D194" s="4">
        <v>0.11346319938699399</v>
      </c>
      <c r="E194" s="4">
        <v>192</v>
      </c>
      <c r="F194" s="4">
        <v>0</v>
      </c>
      <c r="G194" s="4">
        <v>29.364218749999999</v>
      </c>
      <c r="H194" s="4">
        <v>0</v>
      </c>
      <c r="I194" s="4">
        <v>1.0416666666666701E-2</v>
      </c>
      <c r="J194" s="4">
        <v>3</v>
      </c>
      <c r="K194" s="4">
        <v>2006</v>
      </c>
      <c r="M194" s="5" t="s">
        <v>10</v>
      </c>
      <c r="O194" s="4">
        <v>0.01</v>
      </c>
      <c r="P194" s="4">
        <v>0.01</v>
      </c>
      <c r="Q194" s="4">
        <f>(P194-P193)/P193</f>
        <v>-0.51999999999999924</v>
      </c>
      <c r="R194" s="4">
        <v>9</v>
      </c>
      <c r="S194" s="3">
        <v>38782</v>
      </c>
      <c r="T194" s="2">
        <f>IF(N194&gt;0,1,0)</f>
        <v>0</v>
      </c>
    </row>
    <row r="195" spans="1:20" x14ac:dyDescent="0.2">
      <c r="A195" s="6">
        <v>194</v>
      </c>
      <c r="B195" s="3">
        <v>38790</v>
      </c>
      <c r="C195" s="4">
        <v>0.10675823443627901</v>
      </c>
      <c r="D195" s="4">
        <v>9.7083122779925701E-2</v>
      </c>
      <c r="E195" s="4">
        <v>192</v>
      </c>
      <c r="F195" s="4">
        <v>2</v>
      </c>
      <c r="G195" s="4">
        <v>29.14421875</v>
      </c>
      <c r="H195" s="4">
        <v>1.0416666666666701E-2</v>
      </c>
      <c r="I195" s="4">
        <v>0</v>
      </c>
      <c r="J195" s="4">
        <v>3</v>
      </c>
      <c r="K195" s="4">
        <v>2006</v>
      </c>
      <c r="M195" s="5"/>
      <c r="O195" s="4">
        <v>1.0416666666666701E-2</v>
      </c>
      <c r="P195" s="4">
        <v>1.0416666666666701E-2</v>
      </c>
      <c r="Q195" s="4">
        <f>(P195-P194)/P194</f>
        <v>4.1666666666670057E-2</v>
      </c>
      <c r="R195" s="4">
        <v>10</v>
      </c>
      <c r="S195" s="3">
        <v>38790</v>
      </c>
      <c r="T195" s="2">
        <f>IF(N195&gt;0,1,0)</f>
        <v>0</v>
      </c>
    </row>
    <row r="196" spans="1:20" x14ac:dyDescent="0.2">
      <c r="A196" s="6">
        <v>195</v>
      </c>
      <c r="B196" s="3">
        <v>38798</v>
      </c>
      <c r="C196" s="4">
        <v>0.120312645876159</v>
      </c>
      <c r="D196" s="4">
        <v>0.107578518489997</v>
      </c>
      <c r="E196" s="4">
        <v>192</v>
      </c>
      <c r="F196" s="4">
        <v>0</v>
      </c>
      <c r="G196" s="4">
        <v>29.306718750000002</v>
      </c>
      <c r="H196" s="4">
        <v>0</v>
      </c>
      <c r="I196" s="4">
        <v>5.2083333333333296E-3</v>
      </c>
      <c r="J196" s="4">
        <v>3</v>
      </c>
      <c r="K196" s="4">
        <v>2006</v>
      </c>
      <c r="M196" s="5"/>
      <c r="O196" s="4">
        <v>0.01</v>
      </c>
      <c r="P196" s="4">
        <v>0.01</v>
      </c>
      <c r="Q196" s="4">
        <f>(P196-P195)/P195</f>
        <v>-4.0000000000003123E-2</v>
      </c>
      <c r="R196" s="4">
        <v>11</v>
      </c>
      <c r="S196" s="3">
        <v>38798</v>
      </c>
      <c r="T196" s="2">
        <f>IF(N196&gt;0,1,0)</f>
        <v>0</v>
      </c>
    </row>
    <row r="197" spans="1:20" x14ac:dyDescent="0.2">
      <c r="A197" s="6">
        <v>196</v>
      </c>
      <c r="B197" s="3">
        <v>38806</v>
      </c>
      <c r="C197" s="4">
        <v>0.114779654372897</v>
      </c>
      <c r="D197" s="4">
        <v>9.8364635060230896E-2</v>
      </c>
      <c r="E197" s="4">
        <v>192</v>
      </c>
      <c r="F197" s="4">
        <v>1</v>
      </c>
      <c r="G197" s="4">
        <v>29.451484375</v>
      </c>
      <c r="H197" s="4">
        <v>5.2083333333333296E-3</v>
      </c>
      <c r="I197" s="4">
        <v>0</v>
      </c>
      <c r="J197" s="4">
        <v>3</v>
      </c>
      <c r="K197" s="4">
        <v>2006</v>
      </c>
      <c r="M197" s="5"/>
      <c r="O197" s="4">
        <v>5.2083333333333296E-3</v>
      </c>
      <c r="P197" s="4">
        <v>5.2083333333333296E-3</v>
      </c>
      <c r="Q197" s="4">
        <f>(P197-P196)/P196</f>
        <v>-0.47916666666666707</v>
      </c>
      <c r="R197" s="4">
        <v>12</v>
      </c>
      <c r="S197" s="3">
        <v>38806</v>
      </c>
      <c r="T197" s="2">
        <f>IF(N197&gt;0,1,0)</f>
        <v>0</v>
      </c>
    </row>
    <row r="198" spans="1:20" x14ac:dyDescent="0.2">
      <c r="A198" s="6">
        <v>197</v>
      </c>
      <c r="B198" s="3">
        <v>38814</v>
      </c>
      <c r="C198" s="4">
        <v>0.142796140112397</v>
      </c>
      <c r="D198" s="4">
        <v>0.14873625089724901</v>
      </c>
      <c r="E198" s="4">
        <v>192</v>
      </c>
      <c r="F198" s="4">
        <v>0</v>
      </c>
      <c r="G198" s="4">
        <v>29.257031250000001</v>
      </c>
      <c r="H198" s="4">
        <v>0</v>
      </c>
      <c r="I198" s="4">
        <v>0</v>
      </c>
      <c r="J198" s="4">
        <v>4</v>
      </c>
      <c r="K198" s="4">
        <v>2006</v>
      </c>
      <c r="M198" s="5" t="s">
        <v>9</v>
      </c>
      <c r="O198" s="4">
        <v>0.01</v>
      </c>
      <c r="P198" s="4">
        <v>0.01</v>
      </c>
      <c r="Q198" s="4">
        <f>(P198-P197)/P197</f>
        <v>0.92000000000000137</v>
      </c>
      <c r="R198" s="4">
        <v>13</v>
      </c>
      <c r="S198" s="3">
        <v>38814</v>
      </c>
      <c r="T198" s="2">
        <f>IF(N198&gt;0,1,0)</f>
        <v>0</v>
      </c>
    </row>
    <row r="199" spans="1:20" x14ac:dyDescent="0.2">
      <c r="A199" s="6">
        <v>198</v>
      </c>
      <c r="B199" s="3">
        <v>38822</v>
      </c>
      <c r="C199" s="4">
        <v>0.14730199928292001</v>
      </c>
      <c r="D199" s="4">
        <v>0.138712907830874</v>
      </c>
      <c r="E199" s="4">
        <v>192</v>
      </c>
      <c r="F199" s="4">
        <v>0</v>
      </c>
      <c r="G199" s="4">
        <v>29.095624999999998</v>
      </c>
      <c r="H199" s="4">
        <v>0</v>
      </c>
      <c r="I199" s="4">
        <v>5.2083333333333296E-3</v>
      </c>
      <c r="J199" s="4">
        <v>4</v>
      </c>
      <c r="K199" s="4">
        <v>2006</v>
      </c>
      <c r="M199" s="5"/>
      <c r="O199" s="4">
        <v>0.01</v>
      </c>
      <c r="P199" s="4">
        <v>0.01</v>
      </c>
      <c r="Q199" s="4">
        <f>(P199-P198)/P198</f>
        <v>0</v>
      </c>
      <c r="R199" s="4">
        <v>14</v>
      </c>
      <c r="S199" s="3">
        <v>38822</v>
      </c>
      <c r="T199" s="2">
        <f>IF(N199&gt;0,1,0)</f>
        <v>0</v>
      </c>
    </row>
    <row r="200" spans="1:20" x14ac:dyDescent="0.2">
      <c r="A200" s="6">
        <v>199</v>
      </c>
      <c r="B200" s="3">
        <v>38830</v>
      </c>
      <c r="C200" s="4">
        <v>0.13943358376208301</v>
      </c>
      <c r="D200" s="4">
        <v>0.118888811518749</v>
      </c>
      <c r="E200" s="4">
        <v>192</v>
      </c>
      <c r="F200" s="4">
        <v>1</v>
      </c>
      <c r="G200" s="4">
        <v>29.151223958333301</v>
      </c>
      <c r="H200" s="4">
        <v>5.2083333333333296E-3</v>
      </c>
      <c r="I200" s="4">
        <v>0</v>
      </c>
      <c r="J200" s="4">
        <v>4</v>
      </c>
      <c r="K200" s="4">
        <v>2006</v>
      </c>
      <c r="M200" s="5"/>
      <c r="O200" s="4">
        <v>5.2083333333333296E-3</v>
      </c>
      <c r="P200" s="4">
        <v>5.2083333333333296E-3</v>
      </c>
      <c r="Q200" s="4">
        <f>(P200-P199)/P199</f>
        <v>-0.47916666666666707</v>
      </c>
      <c r="R200" s="4">
        <v>15</v>
      </c>
      <c r="S200" s="3">
        <v>38830</v>
      </c>
      <c r="T200" s="2">
        <f>IF(N200&gt;0,1,0)</f>
        <v>0</v>
      </c>
    </row>
    <row r="201" spans="1:20" x14ac:dyDescent="0.2">
      <c r="A201" s="6">
        <v>200</v>
      </c>
      <c r="B201" s="3">
        <v>38838</v>
      </c>
      <c r="C201" s="4">
        <v>0.150245763102753</v>
      </c>
      <c r="D201" s="4">
        <v>0.14421916753053701</v>
      </c>
      <c r="E201" s="4">
        <v>188</v>
      </c>
      <c r="F201" s="4">
        <v>0</v>
      </c>
      <c r="G201" s="4">
        <v>28.953906249999999</v>
      </c>
      <c r="H201" s="4">
        <v>0</v>
      </c>
      <c r="I201" s="4" t="s">
        <v>0</v>
      </c>
      <c r="J201" s="4">
        <v>5</v>
      </c>
      <c r="K201" s="4">
        <v>2006</v>
      </c>
      <c r="M201" s="5" t="s">
        <v>8</v>
      </c>
      <c r="O201" s="4">
        <v>0.01</v>
      </c>
      <c r="P201" s="4">
        <v>0.01</v>
      </c>
      <c r="Q201" s="4">
        <f>(P201-P200)/P200</f>
        <v>0.92000000000000137</v>
      </c>
      <c r="R201" s="4">
        <v>16</v>
      </c>
      <c r="S201" s="3">
        <v>38838</v>
      </c>
      <c r="T201" s="2">
        <f>IF(N201&gt;0,1,0)</f>
        <v>0</v>
      </c>
    </row>
    <row r="202" spans="1:20" x14ac:dyDescent="0.2">
      <c r="A202" s="6">
        <v>201</v>
      </c>
      <c r="B202" s="3">
        <v>38846</v>
      </c>
      <c r="C202" s="4">
        <v>0.160133196092728</v>
      </c>
      <c r="D202" s="4">
        <v>0.157139415542285</v>
      </c>
      <c r="E202" s="4">
        <v>35.1</v>
      </c>
      <c r="F202" s="4">
        <v>0</v>
      </c>
      <c r="G202" s="4">
        <v>28.766223958333299</v>
      </c>
      <c r="H202" s="4" t="s">
        <v>0</v>
      </c>
      <c r="I202" s="4" t="s">
        <v>0</v>
      </c>
      <c r="J202" s="4">
        <v>5</v>
      </c>
      <c r="K202" s="4">
        <v>2006</v>
      </c>
      <c r="M202" s="5"/>
      <c r="O202" s="4">
        <v>0</v>
      </c>
      <c r="P202" s="4">
        <v>0</v>
      </c>
      <c r="Q202" s="4">
        <f>(P202-P201)/P201</f>
        <v>-1</v>
      </c>
      <c r="R202" s="4">
        <v>17</v>
      </c>
      <c r="S202" s="3">
        <v>38846</v>
      </c>
      <c r="T202" s="2">
        <f>IF(N202&gt;0,1,0)</f>
        <v>0</v>
      </c>
    </row>
    <row r="203" spans="1:20" x14ac:dyDescent="0.2">
      <c r="A203" s="6">
        <v>202</v>
      </c>
      <c r="B203" s="3">
        <v>38854</v>
      </c>
      <c r="C203" s="4">
        <v>0.18340310682025199</v>
      </c>
      <c r="D203" s="4">
        <v>0.16350602606932299</v>
      </c>
      <c r="E203" s="4">
        <v>0</v>
      </c>
      <c r="F203" s="4">
        <v>0</v>
      </c>
      <c r="G203" s="4">
        <v>28.017291666666701</v>
      </c>
      <c r="H203" s="4" t="s">
        <v>0</v>
      </c>
      <c r="I203" s="4" t="s">
        <v>0</v>
      </c>
      <c r="J203" s="4">
        <v>5</v>
      </c>
      <c r="K203" s="4">
        <v>2006</v>
      </c>
      <c r="M203" s="5"/>
      <c r="O203" s="4">
        <v>0</v>
      </c>
      <c r="P203" s="4">
        <v>0</v>
      </c>
      <c r="Q203" s="4" t="e">
        <f>(P203-P202)/P202</f>
        <v>#DIV/0!</v>
      </c>
      <c r="R203" s="4">
        <v>18</v>
      </c>
      <c r="S203" s="3">
        <v>38854</v>
      </c>
      <c r="T203" s="2">
        <f>IF(N203&gt;0,1,0)</f>
        <v>0</v>
      </c>
    </row>
    <row r="204" spans="1:20" x14ac:dyDescent="0.2">
      <c r="A204" s="6">
        <v>203</v>
      </c>
      <c r="B204" s="3">
        <v>38862</v>
      </c>
      <c r="C204" s="4">
        <v>0.23003639260100001</v>
      </c>
      <c r="D204" s="4">
        <v>0.21855727583169901</v>
      </c>
      <c r="E204" s="4">
        <v>0</v>
      </c>
      <c r="F204" s="4">
        <v>0</v>
      </c>
      <c r="G204" s="4">
        <v>27.098359375000001</v>
      </c>
      <c r="H204" s="4" t="s">
        <v>0</v>
      </c>
      <c r="I204" s="4" t="s">
        <v>0</v>
      </c>
      <c r="J204" s="4">
        <v>5</v>
      </c>
      <c r="K204" s="4">
        <v>2006</v>
      </c>
      <c r="M204" s="5"/>
      <c r="O204" s="4">
        <v>0</v>
      </c>
      <c r="P204" s="4">
        <v>0</v>
      </c>
      <c r="Q204" s="4" t="e">
        <f>(P204-P203)/P203</f>
        <v>#DIV/0!</v>
      </c>
      <c r="R204" s="4">
        <v>19</v>
      </c>
      <c r="S204" s="3">
        <v>38862</v>
      </c>
      <c r="T204" s="2">
        <f>IF(N204&gt;0,1,0)</f>
        <v>0</v>
      </c>
    </row>
    <row r="205" spans="1:20" x14ac:dyDescent="0.2">
      <c r="A205" s="6">
        <v>204</v>
      </c>
      <c r="B205" s="3">
        <v>38870</v>
      </c>
      <c r="C205" s="4">
        <v>0.234749558588697</v>
      </c>
      <c r="D205" s="4">
        <v>0.21482180058956099</v>
      </c>
      <c r="E205" s="4">
        <v>0</v>
      </c>
      <c r="F205" s="4">
        <v>0</v>
      </c>
      <c r="G205" s="4">
        <v>26.743776041666699</v>
      </c>
      <c r="H205" s="4" t="s">
        <v>0</v>
      </c>
      <c r="I205" s="4" t="s">
        <v>0</v>
      </c>
      <c r="J205" s="4">
        <v>6</v>
      </c>
      <c r="K205" s="4">
        <v>2006</v>
      </c>
      <c r="M205" s="5" t="s">
        <v>7</v>
      </c>
      <c r="O205" s="4">
        <v>0</v>
      </c>
      <c r="P205" s="4">
        <v>0</v>
      </c>
      <c r="Q205" s="4" t="e">
        <f>(P205-P204)/P204</f>
        <v>#DIV/0!</v>
      </c>
      <c r="R205" s="4">
        <v>20</v>
      </c>
      <c r="S205" s="3">
        <v>38870</v>
      </c>
      <c r="T205" s="2">
        <f>IF(N205&gt;0,1,0)</f>
        <v>0</v>
      </c>
    </row>
    <row r="206" spans="1:20" x14ac:dyDescent="0.2">
      <c r="A206" s="6">
        <v>205</v>
      </c>
      <c r="B206" s="3">
        <v>38878</v>
      </c>
      <c r="C206" s="4">
        <v>0.20116296692157401</v>
      </c>
      <c r="D206" s="4">
        <v>0.17270547648270901</v>
      </c>
      <c r="E206" s="4">
        <v>0</v>
      </c>
      <c r="F206" s="4">
        <v>0</v>
      </c>
      <c r="G206" s="4">
        <v>27.587473958333302</v>
      </c>
      <c r="H206" s="4" t="s">
        <v>0</v>
      </c>
      <c r="I206" s="4" t="s">
        <v>0</v>
      </c>
      <c r="J206" s="4">
        <v>6</v>
      </c>
      <c r="K206" s="4">
        <v>2006</v>
      </c>
      <c r="M206" s="5"/>
      <c r="O206" s="4">
        <v>0</v>
      </c>
      <c r="P206" s="4">
        <v>0</v>
      </c>
      <c r="Q206" s="4" t="e">
        <f>(P206-P205)/P205</f>
        <v>#DIV/0!</v>
      </c>
      <c r="R206" s="4">
        <v>21</v>
      </c>
      <c r="S206" s="3">
        <v>38878</v>
      </c>
      <c r="T206" s="2">
        <f>IF(N206&gt;0,1,0)</f>
        <v>0</v>
      </c>
    </row>
    <row r="207" spans="1:20" x14ac:dyDescent="0.2">
      <c r="A207" s="6">
        <v>206</v>
      </c>
      <c r="B207" s="3">
        <v>38886</v>
      </c>
      <c r="C207" s="4">
        <v>0.16840370175325201</v>
      </c>
      <c r="D207" s="4">
        <v>0.15606889625390399</v>
      </c>
      <c r="E207" s="4">
        <v>0</v>
      </c>
      <c r="F207" s="4">
        <v>0</v>
      </c>
      <c r="G207" s="4">
        <v>28.164114583333301</v>
      </c>
      <c r="H207" s="4" t="s">
        <v>0</v>
      </c>
      <c r="I207" s="4" t="s">
        <v>0</v>
      </c>
      <c r="J207" s="4">
        <v>6</v>
      </c>
      <c r="K207" s="4">
        <v>2006</v>
      </c>
      <c r="M207" s="5"/>
      <c r="O207" s="4">
        <v>0</v>
      </c>
      <c r="P207" s="4">
        <v>0</v>
      </c>
      <c r="Q207" s="4" t="e">
        <f>(P207-P206)/P206</f>
        <v>#DIV/0!</v>
      </c>
      <c r="R207" s="4">
        <v>22</v>
      </c>
      <c r="S207" s="3">
        <v>38886</v>
      </c>
      <c r="T207" s="2">
        <f>IF(N207&gt;0,1,0)</f>
        <v>0</v>
      </c>
    </row>
    <row r="208" spans="1:20" x14ac:dyDescent="0.2">
      <c r="A208" s="6">
        <v>207</v>
      </c>
      <c r="B208" s="3">
        <v>38894</v>
      </c>
      <c r="C208" s="4">
        <v>0.111580667154091</v>
      </c>
      <c r="D208" s="4" t="s">
        <v>0</v>
      </c>
      <c r="E208" s="4">
        <v>0</v>
      </c>
      <c r="F208" s="4">
        <v>0</v>
      </c>
      <c r="G208" s="4">
        <v>28.129375</v>
      </c>
      <c r="H208" s="4" t="s">
        <v>0</v>
      </c>
      <c r="I208" s="4" t="s">
        <v>0</v>
      </c>
      <c r="J208" s="4">
        <v>6</v>
      </c>
      <c r="K208" s="4">
        <v>2006</v>
      </c>
      <c r="M208" s="5"/>
      <c r="O208" s="4">
        <v>0</v>
      </c>
      <c r="P208" s="4">
        <v>0</v>
      </c>
      <c r="Q208" s="4" t="e">
        <f>(P208-P207)/P207</f>
        <v>#DIV/0!</v>
      </c>
      <c r="R208" s="4">
        <v>23</v>
      </c>
      <c r="S208" s="3">
        <v>38894</v>
      </c>
      <c r="T208" s="2">
        <f>IF(N208&gt;0,1,0)</f>
        <v>0</v>
      </c>
    </row>
    <row r="209" spans="1:20" x14ac:dyDescent="0.2">
      <c r="A209" s="6">
        <v>208</v>
      </c>
      <c r="B209" s="3">
        <v>38902</v>
      </c>
      <c r="C209" s="4">
        <v>0.14756391806541599</v>
      </c>
      <c r="D209" s="4">
        <v>0.127379221220811</v>
      </c>
      <c r="E209" s="4">
        <v>0</v>
      </c>
      <c r="F209" s="4">
        <v>0</v>
      </c>
      <c r="G209" s="4">
        <v>27.813281249999999</v>
      </c>
      <c r="H209" s="4" t="s">
        <v>0</v>
      </c>
      <c r="I209" s="4" t="s">
        <v>0</v>
      </c>
      <c r="J209" s="4">
        <v>7</v>
      </c>
      <c r="K209" s="4">
        <v>2006</v>
      </c>
      <c r="M209" s="5" t="s">
        <v>6</v>
      </c>
      <c r="O209" s="4">
        <v>0</v>
      </c>
      <c r="P209" s="4">
        <v>0</v>
      </c>
      <c r="Q209" s="4" t="e">
        <f>(P209-P208)/P208</f>
        <v>#DIV/0!</v>
      </c>
      <c r="R209" s="4">
        <v>24</v>
      </c>
      <c r="S209" s="3">
        <v>38902</v>
      </c>
      <c r="T209" s="2">
        <f>IF(N209&gt;0,1,0)</f>
        <v>0</v>
      </c>
    </row>
    <row r="210" spans="1:20" x14ac:dyDescent="0.2">
      <c r="A210" s="6">
        <v>209</v>
      </c>
      <c r="B210" s="3">
        <v>38910</v>
      </c>
      <c r="C210" s="4">
        <v>0.14866316996307799</v>
      </c>
      <c r="D210" s="4">
        <v>0.137528357406457</v>
      </c>
      <c r="E210" s="4">
        <v>0</v>
      </c>
      <c r="F210" s="4">
        <v>0</v>
      </c>
      <c r="G210" s="4">
        <v>27.7332291666667</v>
      </c>
      <c r="H210" s="4" t="s">
        <v>0</v>
      </c>
      <c r="I210" s="4" t="s">
        <v>0</v>
      </c>
      <c r="J210" s="4">
        <v>7</v>
      </c>
      <c r="K210" s="4">
        <v>2006</v>
      </c>
      <c r="M210" s="5"/>
      <c r="O210" s="4">
        <v>0</v>
      </c>
      <c r="P210" s="4">
        <v>0</v>
      </c>
      <c r="Q210" s="4" t="e">
        <f>(P210-P209)/P209</f>
        <v>#DIV/0!</v>
      </c>
      <c r="R210" s="4">
        <v>25</v>
      </c>
      <c r="S210" s="3">
        <v>38910</v>
      </c>
      <c r="T210" s="2">
        <f>IF(N210&gt;0,1,0)</f>
        <v>0</v>
      </c>
    </row>
    <row r="211" spans="1:20" x14ac:dyDescent="0.2">
      <c r="A211" s="6">
        <v>210</v>
      </c>
      <c r="B211" s="3">
        <v>38918</v>
      </c>
      <c r="C211" s="4">
        <v>0.14962794986012901</v>
      </c>
      <c r="D211" s="4">
        <v>0.122922215610743</v>
      </c>
      <c r="E211" s="4">
        <v>19.899999999999999</v>
      </c>
      <c r="F211" s="4">
        <v>0</v>
      </c>
      <c r="G211" s="4">
        <v>27.740286458333301</v>
      </c>
      <c r="H211" s="4" t="s">
        <v>0</v>
      </c>
      <c r="I211" s="4">
        <v>2.1276595744680899E-2</v>
      </c>
      <c r="J211" s="4">
        <v>7</v>
      </c>
      <c r="K211" s="4">
        <v>2006</v>
      </c>
      <c r="M211" s="5"/>
      <c r="O211" s="4">
        <v>0</v>
      </c>
      <c r="P211" s="4">
        <v>0</v>
      </c>
      <c r="Q211" s="4" t="e">
        <f>(P211-P210)/P210</f>
        <v>#DIV/0!</v>
      </c>
      <c r="R211" s="4">
        <v>26</v>
      </c>
      <c r="S211" s="3">
        <v>38918</v>
      </c>
      <c r="T211" s="2">
        <f>IF(N211&gt;0,1,0)</f>
        <v>0</v>
      </c>
    </row>
    <row r="212" spans="1:20" x14ac:dyDescent="0.2">
      <c r="A212" s="6">
        <v>211</v>
      </c>
      <c r="B212" s="3">
        <v>38926</v>
      </c>
      <c r="C212" s="4">
        <v>0.18336335642056301</v>
      </c>
      <c r="D212" s="4">
        <v>0.168964887658755</v>
      </c>
      <c r="E212" s="4">
        <v>188</v>
      </c>
      <c r="F212" s="4">
        <v>4</v>
      </c>
      <c r="G212" s="4">
        <v>27.799505208333301</v>
      </c>
      <c r="H212" s="4">
        <v>2.1276595744680899E-2</v>
      </c>
      <c r="I212" s="4">
        <v>0.15625</v>
      </c>
      <c r="J212" s="4">
        <v>7</v>
      </c>
      <c r="K212" s="4">
        <v>2006</v>
      </c>
      <c r="M212" s="5"/>
      <c r="O212" s="4">
        <v>2.1276595744680899E-2</v>
      </c>
      <c r="P212" s="4">
        <v>2.1276595744680899E-2</v>
      </c>
      <c r="Q212" s="4" t="e">
        <f>(P212-P211)/P211</f>
        <v>#DIV/0!</v>
      </c>
      <c r="R212" s="4">
        <v>27</v>
      </c>
      <c r="S212" s="3">
        <v>38926</v>
      </c>
      <c r="T212" s="2">
        <f>IF(N212&gt;0,1,0)</f>
        <v>0</v>
      </c>
    </row>
    <row r="213" spans="1:20" x14ac:dyDescent="0.2">
      <c r="A213" s="6">
        <v>212</v>
      </c>
      <c r="B213" s="10">
        <v>38934</v>
      </c>
      <c r="C213" s="4">
        <v>0.17287402506917701</v>
      </c>
      <c r="D213" s="4">
        <v>0.15926772604386</v>
      </c>
      <c r="E213" s="4">
        <v>192</v>
      </c>
      <c r="F213" s="4">
        <v>30</v>
      </c>
      <c r="G213" s="4">
        <v>27.8302604166667</v>
      </c>
      <c r="H213" s="4">
        <v>0.15625</v>
      </c>
      <c r="I213" s="4">
        <v>0.19791666666666699</v>
      </c>
      <c r="J213" s="4">
        <v>8</v>
      </c>
      <c r="K213" s="4">
        <v>2006</v>
      </c>
      <c r="M213" s="5" t="s">
        <v>5</v>
      </c>
      <c r="N213" s="4">
        <v>0.15625</v>
      </c>
      <c r="P213" s="4">
        <v>0.15625</v>
      </c>
      <c r="Q213" s="4">
        <f>(P213-P212)/P212</f>
        <v>6.3437499999999831</v>
      </c>
      <c r="R213" s="4">
        <v>28</v>
      </c>
      <c r="S213" s="3">
        <v>38934</v>
      </c>
      <c r="T213" s="2">
        <f>IF(N213&gt;0,1,0)</f>
        <v>1</v>
      </c>
    </row>
    <row r="214" spans="1:20" x14ac:dyDescent="0.2">
      <c r="A214" s="6">
        <v>213</v>
      </c>
      <c r="B214" s="3">
        <v>38942</v>
      </c>
      <c r="C214" s="4">
        <v>0.198760562860374</v>
      </c>
      <c r="D214" s="4">
        <v>0.19506320108969999</v>
      </c>
      <c r="E214" s="4">
        <v>192</v>
      </c>
      <c r="F214" s="4">
        <v>38</v>
      </c>
      <c r="G214" s="4">
        <v>27.670546874999999</v>
      </c>
      <c r="H214" s="4">
        <v>0.19791666666666699</v>
      </c>
      <c r="I214" s="4">
        <v>0.46629213483146098</v>
      </c>
      <c r="J214" s="4">
        <v>8</v>
      </c>
      <c r="K214" s="4">
        <v>2006</v>
      </c>
      <c r="M214" s="5"/>
      <c r="N214" s="4">
        <v>0.19791666666666699</v>
      </c>
      <c r="P214" s="4">
        <v>0.19791666666666699</v>
      </c>
      <c r="Q214" s="4">
        <f>(P214-P213)/P213</f>
        <v>0.26666666666666872</v>
      </c>
      <c r="R214" s="4">
        <v>29</v>
      </c>
      <c r="S214" s="3">
        <v>38942</v>
      </c>
      <c r="T214" s="2">
        <f>IF(N214&gt;0,1,0)</f>
        <v>1</v>
      </c>
    </row>
    <row r="215" spans="1:20" x14ac:dyDescent="0.2">
      <c r="A215" s="6">
        <v>214</v>
      </c>
      <c r="B215" s="3">
        <v>38950</v>
      </c>
      <c r="C215" s="4">
        <v>0.142726995698784</v>
      </c>
      <c r="D215" s="4">
        <v>0.19463039934635201</v>
      </c>
      <c r="E215" s="4">
        <v>178</v>
      </c>
      <c r="F215" s="4">
        <v>83</v>
      </c>
      <c r="G215" s="4">
        <v>27.892630208333301</v>
      </c>
      <c r="H215" s="4">
        <v>0.46629213483146098</v>
      </c>
      <c r="I215" s="4">
        <v>0.63541666666666696</v>
      </c>
      <c r="J215" s="4">
        <v>8</v>
      </c>
      <c r="K215" s="4">
        <v>2006</v>
      </c>
      <c r="M215" s="5"/>
      <c r="N215" s="4">
        <v>0.46629213483146098</v>
      </c>
      <c r="P215" s="4">
        <v>0.46629213483146098</v>
      </c>
      <c r="Q215" s="4">
        <f>(P215-P214)/P214</f>
        <v>1.3560023654642199</v>
      </c>
      <c r="R215" s="4">
        <v>30</v>
      </c>
      <c r="S215" s="3">
        <v>38950</v>
      </c>
      <c r="T215" s="2">
        <f>IF(N215&gt;0,1,0)</f>
        <v>1</v>
      </c>
    </row>
    <row r="216" spans="1:20" x14ac:dyDescent="0.2">
      <c r="A216" s="6">
        <v>215</v>
      </c>
      <c r="B216" s="3">
        <v>38958</v>
      </c>
      <c r="C216" s="4">
        <v>0.157085985634006</v>
      </c>
      <c r="D216" s="4">
        <v>0.13438206911087</v>
      </c>
      <c r="E216" s="4">
        <v>192</v>
      </c>
      <c r="F216" s="4">
        <v>122</v>
      </c>
      <c r="G216" s="4">
        <v>27.914296875000002</v>
      </c>
      <c r="H216" s="4">
        <v>0.63541666666666696</v>
      </c>
      <c r="I216" s="4">
        <v>0.41111111111111098</v>
      </c>
      <c r="J216" s="4">
        <v>8</v>
      </c>
      <c r="K216" s="4">
        <v>2006</v>
      </c>
      <c r="M216" s="5"/>
      <c r="N216" s="4">
        <v>0.63541666666666696</v>
      </c>
      <c r="P216" s="4">
        <v>0.63541666666666696</v>
      </c>
      <c r="Q216" s="4">
        <f>(P216-P215)/P215</f>
        <v>0.36270080321285114</v>
      </c>
      <c r="R216" s="4">
        <v>31</v>
      </c>
      <c r="S216" s="3">
        <v>38958</v>
      </c>
      <c r="T216" s="2">
        <f>IF(N216&gt;0,1,0)</f>
        <v>1</v>
      </c>
    </row>
    <row r="217" spans="1:20" x14ac:dyDescent="0.2">
      <c r="A217" s="6">
        <v>216</v>
      </c>
      <c r="B217" s="3">
        <v>38966</v>
      </c>
      <c r="C217" s="4">
        <v>0.141293670830688</v>
      </c>
      <c r="D217" s="4">
        <v>0.13237699717283199</v>
      </c>
      <c r="E217" s="4">
        <v>180</v>
      </c>
      <c r="F217" s="4">
        <v>74</v>
      </c>
      <c r="G217" s="4">
        <v>28.030390624999999</v>
      </c>
      <c r="H217" s="4">
        <v>0.41111111111111098</v>
      </c>
      <c r="I217" s="4">
        <v>0.99457111834961998</v>
      </c>
      <c r="J217" s="4">
        <v>9</v>
      </c>
      <c r="K217" s="4">
        <v>2006</v>
      </c>
      <c r="M217" s="5" t="s">
        <v>4</v>
      </c>
      <c r="N217" s="4">
        <v>0.41111111111111098</v>
      </c>
      <c r="P217" s="4">
        <v>0.41111111111111098</v>
      </c>
      <c r="Q217" s="4">
        <f>(P217-P216)/P216</f>
        <v>-0.35300546448087483</v>
      </c>
      <c r="R217" s="4">
        <v>32</v>
      </c>
      <c r="S217" s="3">
        <v>38966</v>
      </c>
      <c r="T217" s="2">
        <f>IF(N217&gt;0,1,0)</f>
        <v>1</v>
      </c>
    </row>
    <row r="218" spans="1:20" x14ac:dyDescent="0.2">
      <c r="A218" s="6">
        <v>217</v>
      </c>
      <c r="B218" s="3">
        <v>38974</v>
      </c>
      <c r="C218" s="4">
        <v>0.14245015506943101</v>
      </c>
      <c r="D218" s="4">
        <v>0.119969838609298</v>
      </c>
      <c r="E218" s="4">
        <v>184.2</v>
      </c>
      <c r="F218" s="4">
        <v>183.2</v>
      </c>
      <c r="G218" s="4">
        <v>28.1698958333333</v>
      </c>
      <c r="H218" s="4">
        <v>0.99457111834961998</v>
      </c>
      <c r="I218" s="4">
        <v>0.43770672546857797</v>
      </c>
      <c r="J218" s="4">
        <v>9</v>
      </c>
      <c r="K218" s="4">
        <v>2006</v>
      </c>
      <c r="M218" s="5"/>
      <c r="N218" s="4">
        <v>0.99457111834961998</v>
      </c>
      <c r="P218" s="4">
        <v>0.99457111834961998</v>
      </c>
      <c r="Q218" s="9">
        <f>(P218-P217)/P217</f>
        <v>1.4192270446342115</v>
      </c>
      <c r="R218" s="4">
        <v>33</v>
      </c>
      <c r="S218" s="10">
        <v>38974</v>
      </c>
      <c r="T218" s="2">
        <f>IF(N218&gt;0,1,0)</f>
        <v>1</v>
      </c>
    </row>
    <row r="219" spans="1:20" x14ac:dyDescent="0.2">
      <c r="A219" s="6">
        <v>218</v>
      </c>
      <c r="B219" s="10">
        <v>38982</v>
      </c>
      <c r="C219" s="4">
        <v>0.13562010697551499</v>
      </c>
      <c r="D219" s="4">
        <v>9.1605619837840394E-2</v>
      </c>
      <c r="E219" s="4">
        <v>181.4</v>
      </c>
      <c r="F219" s="4">
        <v>79.400000000000006</v>
      </c>
      <c r="G219" s="4">
        <v>28.496197916666699</v>
      </c>
      <c r="H219" s="4">
        <v>0.43770672546857797</v>
      </c>
      <c r="I219" s="4">
        <v>9.6826250672404496E-2</v>
      </c>
      <c r="J219" s="4">
        <v>9</v>
      </c>
      <c r="K219" s="4">
        <v>2006</v>
      </c>
      <c r="M219" s="5"/>
      <c r="N219" s="4">
        <v>0.43770672546857797</v>
      </c>
      <c r="P219" s="4">
        <v>0.43770672546857797</v>
      </c>
      <c r="Q219" s="4">
        <f>(P219-P218)/P218</f>
        <v>-0.55990404568061092</v>
      </c>
      <c r="R219" s="4">
        <v>34</v>
      </c>
      <c r="S219" s="10">
        <v>38982</v>
      </c>
      <c r="T219" s="2">
        <f>IF(N219&gt;0,1,0)</f>
        <v>1</v>
      </c>
    </row>
    <row r="220" spans="1:20" x14ac:dyDescent="0.2">
      <c r="A220" s="6">
        <v>219</v>
      </c>
      <c r="B220" s="3">
        <v>38990</v>
      </c>
      <c r="C220" s="4">
        <v>0.10612202528864099</v>
      </c>
      <c r="D220" s="4">
        <v>8.9328928540150301E-2</v>
      </c>
      <c r="E220" s="4">
        <v>185.9</v>
      </c>
      <c r="F220" s="4">
        <v>18</v>
      </c>
      <c r="G220" s="4">
        <v>28.789609375000001</v>
      </c>
      <c r="H220" s="4">
        <v>9.6826250672404496E-2</v>
      </c>
      <c r="I220" s="4">
        <v>3.9817974971558603E-2</v>
      </c>
      <c r="J220" s="4">
        <v>9</v>
      </c>
      <c r="K220" s="4">
        <v>2006</v>
      </c>
      <c r="M220" s="5"/>
      <c r="O220" s="4">
        <v>9.6826250672404496E-2</v>
      </c>
      <c r="P220" s="4">
        <v>9.6826250672404496E-2</v>
      </c>
      <c r="Q220" s="9">
        <f>(P220-P219)/P219</f>
        <v>-0.77878738196506081</v>
      </c>
      <c r="R220" s="4">
        <v>35</v>
      </c>
      <c r="S220" s="3">
        <v>38990</v>
      </c>
      <c r="T220" s="2">
        <f>IF(N220&gt;0,1,0)</f>
        <v>0</v>
      </c>
    </row>
    <row r="221" spans="1:20" x14ac:dyDescent="0.2">
      <c r="A221" s="6">
        <v>220</v>
      </c>
      <c r="B221" s="3">
        <v>38998</v>
      </c>
      <c r="C221" s="4">
        <v>0.10105522168386299</v>
      </c>
      <c r="D221" s="4">
        <v>8.2643620669841794E-2</v>
      </c>
      <c r="E221" s="4">
        <v>175.8</v>
      </c>
      <c r="F221" s="4">
        <v>7</v>
      </c>
      <c r="G221" s="4">
        <v>28.983750000000001</v>
      </c>
      <c r="H221" s="4">
        <v>3.9817974971558603E-2</v>
      </c>
      <c r="I221" s="4" t="s">
        <v>0</v>
      </c>
      <c r="J221" s="4">
        <v>10</v>
      </c>
      <c r="K221" s="4">
        <v>2006</v>
      </c>
      <c r="M221" s="5" t="s">
        <v>3</v>
      </c>
      <c r="O221" s="4">
        <v>3.9817974971558603E-2</v>
      </c>
      <c r="P221" s="4">
        <v>3.9817974971558603E-2</v>
      </c>
      <c r="Q221" s="4">
        <f>(P221-P220)/P220</f>
        <v>-0.58876880293262523</v>
      </c>
      <c r="R221" s="4">
        <v>36</v>
      </c>
      <c r="S221" s="3">
        <v>38998</v>
      </c>
      <c r="T221" s="2">
        <f>IF(N221&gt;0,1,0)</f>
        <v>0</v>
      </c>
    </row>
    <row r="222" spans="1:20" x14ac:dyDescent="0.2">
      <c r="A222" s="6">
        <v>221</v>
      </c>
      <c r="B222" s="3">
        <v>39006</v>
      </c>
      <c r="C222" s="4">
        <v>0.112659205941276</v>
      </c>
      <c r="D222" s="4">
        <v>9.6829398224751201E-2</v>
      </c>
      <c r="E222" s="4">
        <v>14.4</v>
      </c>
      <c r="F222" s="4">
        <v>14.4</v>
      </c>
      <c r="G222" s="4">
        <v>28.958984375</v>
      </c>
      <c r="H222" s="4" t="s">
        <v>0</v>
      </c>
      <c r="I222" s="4" t="s">
        <v>0</v>
      </c>
      <c r="J222" s="4">
        <v>10</v>
      </c>
      <c r="K222" s="4">
        <v>2006</v>
      </c>
      <c r="M222" s="5"/>
      <c r="O222" s="4">
        <v>0</v>
      </c>
      <c r="P222" s="4">
        <v>0</v>
      </c>
      <c r="Q222" s="4">
        <f>(P222-P221)/P221</f>
        <v>-1</v>
      </c>
      <c r="R222" s="4">
        <v>37</v>
      </c>
      <c r="S222" s="3">
        <v>39006</v>
      </c>
      <c r="T222" s="2">
        <f>IF(N222&gt;0,1,0)</f>
        <v>0</v>
      </c>
    </row>
    <row r="223" spans="1:20" x14ac:dyDescent="0.2">
      <c r="A223" s="6">
        <v>222</v>
      </c>
      <c r="B223" s="3">
        <v>39014</v>
      </c>
      <c r="C223" s="4">
        <v>0.11668859623993399</v>
      </c>
      <c r="D223" s="4">
        <v>0.103311777114868</v>
      </c>
      <c r="E223" s="4">
        <v>0</v>
      </c>
      <c r="F223" s="4">
        <v>0</v>
      </c>
      <c r="G223" s="4">
        <v>29.1758072916667</v>
      </c>
      <c r="H223" s="4" t="s">
        <v>0</v>
      </c>
      <c r="I223" s="4" t="s">
        <v>0</v>
      </c>
      <c r="J223" s="4">
        <v>10</v>
      </c>
      <c r="K223" s="4">
        <v>2006</v>
      </c>
      <c r="M223" s="5"/>
      <c r="O223" s="4">
        <v>0</v>
      </c>
      <c r="P223" s="4">
        <v>0</v>
      </c>
      <c r="Q223" s="4" t="e">
        <f>(P223-P222)/P222</f>
        <v>#DIV/0!</v>
      </c>
      <c r="R223" s="4">
        <v>38</v>
      </c>
      <c r="S223" s="3">
        <v>39014</v>
      </c>
      <c r="T223" s="2">
        <f>IF(N223&gt;0,1,0)</f>
        <v>0</v>
      </c>
    </row>
    <row r="224" spans="1:20" x14ac:dyDescent="0.2">
      <c r="A224" s="6">
        <v>223</v>
      </c>
      <c r="B224" s="3">
        <v>39022</v>
      </c>
      <c r="C224" s="4">
        <v>0.11770181667867199</v>
      </c>
      <c r="D224" s="4">
        <v>8.4257590274016095E-2</v>
      </c>
      <c r="E224" s="4">
        <v>0</v>
      </c>
      <c r="F224" s="4">
        <v>0</v>
      </c>
      <c r="G224" s="4">
        <v>29.348541666666701</v>
      </c>
      <c r="H224" s="4" t="s">
        <v>0</v>
      </c>
      <c r="I224" s="4" t="s">
        <v>0</v>
      </c>
      <c r="J224" s="4">
        <v>11</v>
      </c>
      <c r="K224" s="4">
        <v>2006</v>
      </c>
      <c r="M224" s="5" t="s">
        <v>2</v>
      </c>
      <c r="O224" s="4">
        <v>0</v>
      </c>
      <c r="P224" s="4">
        <v>0</v>
      </c>
      <c r="Q224" s="4" t="e">
        <f>(P224-P223)/P223</f>
        <v>#DIV/0!</v>
      </c>
      <c r="R224" s="4">
        <v>39</v>
      </c>
      <c r="S224" s="3">
        <v>39022</v>
      </c>
      <c r="T224" s="2">
        <f>IF(N224&gt;0,1,0)</f>
        <v>0</v>
      </c>
    </row>
    <row r="225" spans="1:20" x14ac:dyDescent="0.2">
      <c r="A225" s="6">
        <v>224</v>
      </c>
      <c r="B225" s="3">
        <v>39030</v>
      </c>
      <c r="C225" s="4">
        <v>9.7324590948927703E-2</v>
      </c>
      <c r="D225" s="4">
        <v>8.0177710702021898E-2</v>
      </c>
      <c r="E225" s="4">
        <v>0</v>
      </c>
      <c r="F225" s="4">
        <v>0</v>
      </c>
      <c r="G225" s="4">
        <v>29.276093750000001</v>
      </c>
      <c r="H225" s="4" t="s">
        <v>0</v>
      </c>
      <c r="I225" s="4" t="s">
        <v>0</v>
      </c>
      <c r="J225" s="4">
        <v>11</v>
      </c>
      <c r="K225" s="4">
        <v>2006</v>
      </c>
      <c r="M225" s="5"/>
      <c r="O225" s="4">
        <v>0</v>
      </c>
      <c r="P225" s="4">
        <v>0</v>
      </c>
      <c r="Q225" s="4" t="e">
        <f>(P225-P224)/P224</f>
        <v>#DIV/0!</v>
      </c>
      <c r="R225" s="4">
        <v>40</v>
      </c>
      <c r="S225" s="3">
        <v>39030</v>
      </c>
      <c r="T225" s="2">
        <f>IF(N225&gt;0,1,0)</f>
        <v>0</v>
      </c>
    </row>
    <row r="226" spans="1:20" x14ac:dyDescent="0.2">
      <c r="A226" s="6">
        <v>225</v>
      </c>
      <c r="B226" s="3">
        <v>39038</v>
      </c>
      <c r="C226" s="4">
        <v>0.123440384540869</v>
      </c>
      <c r="D226" s="4">
        <v>9.1067597270011902E-2</v>
      </c>
      <c r="E226" s="4">
        <v>0</v>
      </c>
      <c r="F226" s="4">
        <v>0</v>
      </c>
      <c r="G226" s="4">
        <v>29.099661458333301</v>
      </c>
      <c r="H226" s="4" t="s">
        <v>0</v>
      </c>
      <c r="I226" s="4" t="s">
        <v>0</v>
      </c>
      <c r="J226" s="4">
        <v>11</v>
      </c>
      <c r="K226" s="4">
        <v>2006</v>
      </c>
      <c r="M226" s="5"/>
      <c r="O226" s="4">
        <v>0</v>
      </c>
      <c r="P226" s="4">
        <v>0</v>
      </c>
      <c r="Q226" s="4" t="e">
        <f>(P226-P225)/P225</f>
        <v>#DIV/0!</v>
      </c>
      <c r="R226" s="4">
        <v>41</v>
      </c>
      <c r="S226" s="3">
        <v>39038</v>
      </c>
      <c r="T226" s="2">
        <f>IF(N226&gt;0,1,0)</f>
        <v>0</v>
      </c>
    </row>
    <row r="227" spans="1:20" x14ac:dyDescent="0.2">
      <c r="A227" s="6">
        <v>226</v>
      </c>
      <c r="B227" s="3">
        <v>39046</v>
      </c>
      <c r="C227" s="4">
        <v>0.12664607860561899</v>
      </c>
      <c r="D227" s="4">
        <v>0.11908240988850601</v>
      </c>
      <c r="E227" s="4">
        <v>0</v>
      </c>
      <c r="F227" s="4">
        <v>0</v>
      </c>
      <c r="G227" s="4">
        <v>29.084687500000001</v>
      </c>
      <c r="H227" s="4" t="s">
        <v>0</v>
      </c>
      <c r="I227" s="4" t="s">
        <v>0</v>
      </c>
      <c r="J227" s="4">
        <v>11</v>
      </c>
      <c r="K227" s="4">
        <v>2006</v>
      </c>
      <c r="M227" s="5"/>
      <c r="O227" s="4">
        <v>0</v>
      </c>
      <c r="P227" s="4">
        <v>0</v>
      </c>
      <c r="Q227" s="4" t="e">
        <f>(P227-P226)/P226</f>
        <v>#DIV/0!</v>
      </c>
      <c r="R227" s="4">
        <v>42</v>
      </c>
      <c r="S227" s="3">
        <v>39046</v>
      </c>
      <c r="T227" s="2">
        <f>IF(N227&gt;0,1,0)</f>
        <v>0</v>
      </c>
    </row>
    <row r="228" spans="1:20" x14ac:dyDescent="0.2">
      <c r="A228" s="6">
        <v>227</v>
      </c>
      <c r="B228" s="3">
        <v>39054</v>
      </c>
      <c r="C228" s="4">
        <v>9.9986778779162302E-2</v>
      </c>
      <c r="D228" s="4">
        <v>8.5529768218596799E-2</v>
      </c>
      <c r="E228" s="4">
        <v>0</v>
      </c>
      <c r="F228" s="4">
        <v>0</v>
      </c>
      <c r="G228" s="4">
        <v>29.299375000000001</v>
      </c>
      <c r="H228" s="4" t="s">
        <v>0</v>
      </c>
      <c r="I228" s="4" t="s">
        <v>0</v>
      </c>
      <c r="J228" s="4">
        <v>12</v>
      </c>
      <c r="K228" s="4">
        <v>2006</v>
      </c>
      <c r="M228" s="5" t="s">
        <v>1</v>
      </c>
      <c r="O228" s="4">
        <v>0</v>
      </c>
      <c r="P228" s="4">
        <v>0</v>
      </c>
      <c r="Q228" s="4" t="e">
        <f>(P228-P227)/P227</f>
        <v>#DIV/0!</v>
      </c>
      <c r="R228" s="4">
        <v>43</v>
      </c>
      <c r="S228" s="3">
        <v>39054</v>
      </c>
      <c r="T228" s="2">
        <f>IF(N228&gt;0,1,0)</f>
        <v>0</v>
      </c>
    </row>
    <row r="229" spans="1:20" x14ac:dyDescent="0.2">
      <c r="A229" s="6">
        <v>228</v>
      </c>
      <c r="B229" s="3">
        <v>39062</v>
      </c>
      <c r="C229" s="4">
        <v>9.0302336215972903E-2</v>
      </c>
      <c r="D229" s="4" t="s">
        <v>0</v>
      </c>
      <c r="E229" s="4">
        <v>0</v>
      </c>
      <c r="F229" s="4">
        <v>0</v>
      </c>
      <c r="G229" s="4">
        <v>28.747630208333401</v>
      </c>
      <c r="H229" s="4" t="s">
        <v>0</v>
      </c>
      <c r="I229" s="4" t="s">
        <v>0</v>
      </c>
      <c r="J229" s="4">
        <v>12</v>
      </c>
      <c r="K229" s="4">
        <v>2006</v>
      </c>
      <c r="M229" s="5"/>
      <c r="O229" s="4">
        <v>0</v>
      </c>
      <c r="P229" s="4">
        <v>0</v>
      </c>
      <c r="Q229" s="4" t="e">
        <f>(P229-P228)/P228</f>
        <v>#DIV/0!</v>
      </c>
      <c r="R229" s="4">
        <v>44</v>
      </c>
      <c r="S229" s="3">
        <v>39062</v>
      </c>
      <c r="T229" s="2">
        <f>IF(N229&gt;0,1,0)</f>
        <v>0</v>
      </c>
    </row>
    <row r="230" spans="1:20" x14ac:dyDescent="0.2">
      <c r="A230" s="6">
        <v>229</v>
      </c>
      <c r="B230" s="3">
        <v>39070</v>
      </c>
      <c r="C230" s="4">
        <v>0.13338227045756801</v>
      </c>
      <c r="D230" s="4">
        <v>0.123647764325142</v>
      </c>
      <c r="E230" s="4">
        <v>0</v>
      </c>
      <c r="F230" s="4">
        <v>0</v>
      </c>
      <c r="G230" s="4">
        <v>28.8722395833334</v>
      </c>
      <c r="H230" s="4" t="s">
        <v>0</v>
      </c>
      <c r="I230" s="4" t="s">
        <v>0</v>
      </c>
      <c r="J230" s="4">
        <v>12</v>
      </c>
      <c r="K230" s="4">
        <v>2006</v>
      </c>
      <c r="M230" s="5"/>
      <c r="O230" s="4">
        <v>0</v>
      </c>
      <c r="P230" s="4">
        <v>0</v>
      </c>
      <c r="Q230" s="4" t="e">
        <f>(P230-P229)/P229</f>
        <v>#DIV/0!</v>
      </c>
      <c r="R230" s="4">
        <v>45</v>
      </c>
      <c r="S230" s="3">
        <v>39070</v>
      </c>
      <c r="T230" s="2">
        <f>IF(N230&gt;0,1,0)</f>
        <v>0</v>
      </c>
    </row>
    <row r="231" spans="1:20" x14ac:dyDescent="0.2">
      <c r="A231" s="6">
        <v>230</v>
      </c>
      <c r="B231" s="3">
        <v>39078</v>
      </c>
      <c r="C231" s="4">
        <v>0.11569737746483701</v>
      </c>
      <c r="D231" s="4">
        <v>0.11752661814292301</v>
      </c>
      <c r="E231" s="4">
        <v>0</v>
      </c>
      <c r="F231" s="4">
        <v>0</v>
      </c>
      <c r="G231" s="4">
        <v>29.059291666666699</v>
      </c>
      <c r="H231" s="4" t="s">
        <v>0</v>
      </c>
      <c r="I231" s="4" t="s">
        <v>0</v>
      </c>
      <c r="J231" s="4">
        <v>12</v>
      </c>
      <c r="K231" s="4">
        <v>2006</v>
      </c>
      <c r="M231" s="5"/>
      <c r="O231" s="4">
        <v>0</v>
      </c>
      <c r="P231" s="4">
        <v>0</v>
      </c>
      <c r="Q231" s="4" t="e">
        <f>(P231-P230)/P230</f>
        <v>#DIV/0!</v>
      </c>
      <c r="R231" s="4">
        <v>46</v>
      </c>
      <c r="S231" s="3">
        <v>39078</v>
      </c>
      <c r="T231" s="2">
        <f>IF(N231&gt;0,1,0)</f>
        <v>0</v>
      </c>
    </row>
    <row r="232" spans="1:20" x14ac:dyDescent="0.2">
      <c r="A232" s="6">
        <v>231</v>
      </c>
      <c r="B232" s="3">
        <v>39083</v>
      </c>
      <c r="C232" s="4">
        <v>0.14976995603905799</v>
      </c>
      <c r="D232" s="4">
        <v>0.14304102833072299</v>
      </c>
      <c r="E232" s="4">
        <v>0</v>
      </c>
      <c r="F232" s="4">
        <v>0</v>
      </c>
      <c r="G232" s="4">
        <v>28.753697916666699</v>
      </c>
      <c r="H232" s="4" t="s">
        <v>0</v>
      </c>
      <c r="I232" s="4" t="s">
        <v>0</v>
      </c>
      <c r="J232" s="4">
        <v>1</v>
      </c>
      <c r="K232" s="4">
        <v>2007</v>
      </c>
      <c r="L232">
        <v>2007</v>
      </c>
      <c r="M232" s="5" t="s">
        <v>12</v>
      </c>
      <c r="O232" s="4">
        <v>0</v>
      </c>
      <c r="P232" s="4">
        <v>0</v>
      </c>
      <c r="Q232" s="4" t="e">
        <f>(P232-P231)/P231</f>
        <v>#DIV/0!</v>
      </c>
      <c r="R232" s="4">
        <v>1</v>
      </c>
      <c r="S232" s="3">
        <v>39083</v>
      </c>
      <c r="T232" s="2">
        <f>IF(N232&gt;0,1,0)</f>
        <v>0</v>
      </c>
    </row>
    <row r="233" spans="1:20" x14ac:dyDescent="0.2">
      <c r="A233" s="6">
        <v>232</v>
      </c>
      <c r="B233" s="3">
        <v>39091</v>
      </c>
      <c r="C233" s="4">
        <v>0.13822166038344999</v>
      </c>
      <c r="D233" s="4">
        <v>0.134400844573975</v>
      </c>
      <c r="E233" s="4">
        <v>0</v>
      </c>
      <c r="F233" s="4">
        <v>0</v>
      </c>
      <c r="G233" s="4">
        <v>29.14078125</v>
      </c>
      <c r="H233" s="4" t="s">
        <v>0</v>
      </c>
      <c r="I233" s="4" t="s">
        <v>0</v>
      </c>
      <c r="J233" s="4">
        <v>1</v>
      </c>
      <c r="K233" s="4">
        <v>2007</v>
      </c>
      <c r="M233" s="5"/>
      <c r="O233" s="4">
        <v>0</v>
      </c>
      <c r="P233" s="4">
        <v>0</v>
      </c>
      <c r="Q233" s="4" t="e">
        <f>(P233-P232)/P232</f>
        <v>#DIV/0!</v>
      </c>
      <c r="R233" s="4">
        <v>2</v>
      </c>
      <c r="S233" s="3">
        <v>39091</v>
      </c>
      <c r="T233" s="2">
        <f>IF(N233&gt;0,1,0)</f>
        <v>0</v>
      </c>
    </row>
    <row r="234" spans="1:20" x14ac:dyDescent="0.2">
      <c r="A234" s="6">
        <v>233</v>
      </c>
      <c r="B234" s="3">
        <v>39099</v>
      </c>
      <c r="C234" s="4">
        <v>0.123907101547552</v>
      </c>
      <c r="D234" s="4">
        <v>0.11370716119806</v>
      </c>
      <c r="E234" s="4">
        <v>0</v>
      </c>
      <c r="F234" s="4">
        <v>0</v>
      </c>
      <c r="G234" s="4">
        <v>29.268802083333298</v>
      </c>
      <c r="H234" s="4" t="s">
        <v>0</v>
      </c>
      <c r="I234" s="4" t="s">
        <v>0</v>
      </c>
      <c r="J234" s="4">
        <v>1</v>
      </c>
      <c r="K234" s="4">
        <v>2007</v>
      </c>
      <c r="M234" s="5"/>
      <c r="O234" s="4">
        <v>0</v>
      </c>
      <c r="P234" s="4">
        <v>0</v>
      </c>
      <c r="Q234" s="4" t="e">
        <f>(P234-P233)/P233</f>
        <v>#DIV/0!</v>
      </c>
      <c r="R234" s="4">
        <v>3</v>
      </c>
      <c r="S234" s="3">
        <v>39099</v>
      </c>
      <c r="T234" s="2">
        <f>IF(N234&gt;0,1,0)</f>
        <v>0</v>
      </c>
    </row>
    <row r="235" spans="1:20" x14ac:dyDescent="0.2">
      <c r="A235" s="6">
        <v>234</v>
      </c>
      <c r="B235" s="3">
        <v>39107</v>
      </c>
      <c r="C235" s="4">
        <v>0.14571587969031599</v>
      </c>
      <c r="D235" s="4">
        <v>0.130276273936033</v>
      </c>
      <c r="E235" s="4">
        <v>0</v>
      </c>
      <c r="F235" s="4">
        <v>0</v>
      </c>
      <c r="G235" s="4">
        <v>28.9584895833333</v>
      </c>
      <c r="H235" s="4" t="s">
        <v>0</v>
      </c>
      <c r="I235" s="4" t="s">
        <v>0</v>
      </c>
      <c r="J235" s="4">
        <v>1</v>
      </c>
      <c r="K235" s="4">
        <v>2007</v>
      </c>
      <c r="M235" s="5"/>
      <c r="O235" s="4">
        <v>0</v>
      </c>
      <c r="P235" s="4">
        <v>0</v>
      </c>
      <c r="Q235" s="4" t="e">
        <f>(P235-P234)/P234</f>
        <v>#DIV/0!</v>
      </c>
      <c r="R235" s="4">
        <v>4</v>
      </c>
      <c r="S235" s="3">
        <v>39107</v>
      </c>
      <c r="T235" s="2">
        <f>IF(N235&gt;0,1,0)</f>
        <v>0</v>
      </c>
    </row>
    <row r="236" spans="1:20" x14ac:dyDescent="0.2">
      <c r="A236" s="6">
        <v>235</v>
      </c>
      <c r="B236" s="3">
        <v>39115</v>
      </c>
      <c r="C236" s="4">
        <v>0.119857150802596</v>
      </c>
      <c r="D236" s="4">
        <v>0.110318522900343</v>
      </c>
      <c r="E236" s="4">
        <v>0</v>
      </c>
      <c r="F236" s="4">
        <v>0</v>
      </c>
      <c r="G236" s="4">
        <v>29.233750000000001</v>
      </c>
      <c r="H236" s="4" t="s">
        <v>0</v>
      </c>
      <c r="I236" s="4" t="s">
        <v>0</v>
      </c>
      <c r="J236" s="4">
        <v>2</v>
      </c>
      <c r="K236" s="4">
        <v>2007</v>
      </c>
      <c r="M236" s="5" t="s">
        <v>11</v>
      </c>
      <c r="O236" s="4">
        <v>0</v>
      </c>
      <c r="P236" s="4">
        <v>0</v>
      </c>
      <c r="Q236" s="4" t="e">
        <f>(P236-P235)/P235</f>
        <v>#DIV/0!</v>
      </c>
      <c r="R236" s="4">
        <v>5</v>
      </c>
      <c r="S236" s="3">
        <v>39115</v>
      </c>
      <c r="T236" s="2">
        <f>IF(N236&gt;0,1,0)</f>
        <v>0</v>
      </c>
    </row>
    <row r="237" spans="1:20" x14ac:dyDescent="0.2">
      <c r="A237" s="6">
        <v>236</v>
      </c>
      <c r="B237" s="3">
        <v>39123</v>
      </c>
      <c r="C237" s="4">
        <v>0.13467695781817801</v>
      </c>
      <c r="D237" s="4">
        <v>0.130042564123869</v>
      </c>
      <c r="E237" s="4">
        <v>0</v>
      </c>
      <c r="F237" s="4">
        <v>0</v>
      </c>
      <c r="G237" s="4">
        <v>29.073776041666701</v>
      </c>
      <c r="H237" s="4" t="s">
        <v>0</v>
      </c>
      <c r="I237" s="4" t="s">
        <v>0</v>
      </c>
      <c r="J237" s="4">
        <v>2</v>
      </c>
      <c r="K237" s="4">
        <v>2007</v>
      </c>
      <c r="M237" s="5"/>
      <c r="O237" s="4">
        <v>0</v>
      </c>
      <c r="P237" s="4">
        <v>0</v>
      </c>
      <c r="Q237" s="4" t="e">
        <f>(P237-P236)/P236</f>
        <v>#DIV/0!</v>
      </c>
      <c r="R237" s="4">
        <v>6</v>
      </c>
      <c r="S237" s="3">
        <v>39123</v>
      </c>
      <c r="T237" s="2">
        <f>IF(N237&gt;0,1,0)</f>
        <v>0</v>
      </c>
    </row>
    <row r="238" spans="1:20" x14ac:dyDescent="0.2">
      <c r="A238" s="6">
        <v>237</v>
      </c>
      <c r="B238" s="3">
        <v>39131</v>
      </c>
      <c r="C238" s="4">
        <v>0.11440641363692799</v>
      </c>
      <c r="D238" s="4" t="s">
        <v>0</v>
      </c>
      <c r="E238" s="4">
        <v>0</v>
      </c>
      <c r="F238" s="4">
        <v>0</v>
      </c>
      <c r="G238" s="4">
        <v>29.176874999999999</v>
      </c>
      <c r="H238" s="4" t="s">
        <v>0</v>
      </c>
      <c r="I238" s="4" t="s">
        <v>0</v>
      </c>
      <c r="J238" s="4">
        <v>2</v>
      </c>
      <c r="K238" s="4">
        <v>2007</v>
      </c>
      <c r="M238" s="5"/>
      <c r="O238" s="4">
        <v>0</v>
      </c>
      <c r="P238" s="4">
        <v>0</v>
      </c>
      <c r="Q238" s="4" t="e">
        <f>(P238-P237)/P237</f>
        <v>#DIV/0!</v>
      </c>
      <c r="R238" s="4">
        <v>7</v>
      </c>
      <c r="S238" s="3">
        <v>39131</v>
      </c>
      <c r="T238" s="2">
        <f>IF(N238&gt;0,1,0)</f>
        <v>0</v>
      </c>
    </row>
    <row r="239" spans="1:20" x14ac:dyDescent="0.2">
      <c r="A239" s="6">
        <v>238</v>
      </c>
      <c r="B239" s="3">
        <v>39139</v>
      </c>
      <c r="C239" s="4">
        <v>0.113265662298848</v>
      </c>
      <c r="D239" s="4">
        <v>0.10682629793882401</v>
      </c>
      <c r="E239" s="4">
        <v>0</v>
      </c>
      <c r="F239" s="4">
        <v>0</v>
      </c>
      <c r="G239" s="4">
        <v>28.911406249999999</v>
      </c>
      <c r="H239" s="4" t="s">
        <v>0</v>
      </c>
      <c r="I239" s="4" t="s">
        <v>0</v>
      </c>
      <c r="J239" s="4">
        <v>2</v>
      </c>
      <c r="K239" s="4">
        <v>2007</v>
      </c>
      <c r="M239" s="5"/>
      <c r="O239" s="4">
        <v>0</v>
      </c>
      <c r="P239" s="4">
        <v>0</v>
      </c>
      <c r="Q239" s="4" t="e">
        <f>(P239-P238)/P238</f>
        <v>#DIV/0!</v>
      </c>
      <c r="R239" s="4">
        <v>8</v>
      </c>
      <c r="S239" s="3">
        <v>39139</v>
      </c>
      <c r="T239" s="2">
        <f>IF(N239&gt;0,1,0)</f>
        <v>0</v>
      </c>
    </row>
    <row r="240" spans="1:20" x14ac:dyDescent="0.2">
      <c r="A240" s="6">
        <v>239</v>
      </c>
      <c r="B240" s="3">
        <v>39147</v>
      </c>
      <c r="C240" s="4">
        <v>0.11218295417105199</v>
      </c>
      <c r="D240" s="4">
        <v>0.10107887412111</v>
      </c>
      <c r="E240" s="4">
        <v>0</v>
      </c>
      <c r="F240" s="4">
        <v>0</v>
      </c>
      <c r="G240" s="4">
        <v>29.0551822916667</v>
      </c>
      <c r="H240" s="4" t="s">
        <v>0</v>
      </c>
      <c r="I240" s="4" t="s">
        <v>0</v>
      </c>
      <c r="J240" s="4">
        <v>3</v>
      </c>
      <c r="K240" s="4">
        <v>2007</v>
      </c>
      <c r="M240" s="5" t="s">
        <v>10</v>
      </c>
      <c r="O240" s="4">
        <v>0</v>
      </c>
      <c r="P240" s="4">
        <v>0</v>
      </c>
      <c r="Q240" s="4" t="e">
        <f>(P240-P239)/P239</f>
        <v>#DIV/0!</v>
      </c>
      <c r="R240" s="4">
        <v>9</v>
      </c>
      <c r="S240" s="3">
        <v>39147</v>
      </c>
      <c r="T240" s="2">
        <f>IF(N240&gt;0,1,0)</f>
        <v>0</v>
      </c>
    </row>
    <row r="241" spans="1:20" x14ac:dyDescent="0.2">
      <c r="A241" s="6">
        <v>240</v>
      </c>
      <c r="B241" s="3">
        <v>39155</v>
      </c>
      <c r="C241" s="4">
        <v>0.113254831276006</v>
      </c>
      <c r="D241" s="4">
        <v>0.102242813756069</v>
      </c>
      <c r="E241" s="4">
        <v>0</v>
      </c>
      <c r="F241" s="4">
        <v>0</v>
      </c>
      <c r="G241" s="4">
        <v>29.378802083333301</v>
      </c>
      <c r="H241" s="4" t="s">
        <v>0</v>
      </c>
      <c r="I241" s="4" t="s">
        <v>0</v>
      </c>
      <c r="J241" s="4">
        <v>3</v>
      </c>
      <c r="K241" s="4">
        <v>2007</v>
      </c>
      <c r="M241" s="5"/>
      <c r="O241" s="4">
        <v>0</v>
      </c>
      <c r="P241" s="4">
        <v>0</v>
      </c>
      <c r="Q241" s="4" t="e">
        <f>(P241-P240)/P240</f>
        <v>#DIV/0!</v>
      </c>
      <c r="R241" s="4">
        <v>10</v>
      </c>
      <c r="S241" s="3">
        <v>39155</v>
      </c>
      <c r="T241" s="2">
        <f>IF(N241&gt;0,1,0)</f>
        <v>0</v>
      </c>
    </row>
    <row r="242" spans="1:20" x14ac:dyDescent="0.2">
      <c r="A242" s="6">
        <v>241</v>
      </c>
      <c r="B242" s="3">
        <v>39163</v>
      </c>
      <c r="C242" s="4">
        <v>0.112287617857671</v>
      </c>
      <c r="D242" s="4">
        <v>0.10351756960153601</v>
      </c>
      <c r="E242" s="4">
        <v>0</v>
      </c>
      <c r="F242" s="4">
        <v>0</v>
      </c>
      <c r="G242" s="4">
        <v>29.286249999999999</v>
      </c>
      <c r="H242" s="4" t="s">
        <v>0</v>
      </c>
      <c r="I242" s="4" t="s">
        <v>0</v>
      </c>
      <c r="J242" s="4">
        <v>3</v>
      </c>
      <c r="K242" s="4">
        <v>2007</v>
      </c>
      <c r="M242" s="5"/>
      <c r="O242" s="4">
        <v>0</v>
      </c>
      <c r="P242" s="4">
        <v>0</v>
      </c>
      <c r="Q242" s="4" t="e">
        <f>(P242-P241)/P241</f>
        <v>#DIV/0!</v>
      </c>
      <c r="R242" s="4">
        <v>11</v>
      </c>
      <c r="S242" s="3">
        <v>39163</v>
      </c>
      <c r="T242" s="2">
        <f>IF(N242&gt;0,1,0)</f>
        <v>0</v>
      </c>
    </row>
    <row r="243" spans="1:20" x14ac:dyDescent="0.2">
      <c r="A243" s="6">
        <v>242</v>
      </c>
      <c r="B243" s="3">
        <v>39171</v>
      </c>
      <c r="C243" s="4">
        <v>0.131436855408053</v>
      </c>
      <c r="D243" s="4">
        <v>0.10350911443432199</v>
      </c>
      <c r="E243" s="4">
        <v>0</v>
      </c>
      <c r="F243" s="4">
        <v>0</v>
      </c>
      <c r="G243" s="4">
        <v>28.861276041666699</v>
      </c>
      <c r="H243" s="4" t="s">
        <v>0</v>
      </c>
      <c r="I243" s="4" t="s">
        <v>0</v>
      </c>
      <c r="J243" s="4">
        <v>3</v>
      </c>
      <c r="K243" s="4">
        <v>2007</v>
      </c>
      <c r="M243" s="5"/>
      <c r="O243" s="4">
        <v>0</v>
      </c>
      <c r="P243" s="4">
        <v>0</v>
      </c>
      <c r="Q243" s="4" t="e">
        <f>(P243-P242)/P242</f>
        <v>#DIV/0!</v>
      </c>
      <c r="R243" s="4">
        <v>12</v>
      </c>
      <c r="S243" s="3">
        <v>39171</v>
      </c>
      <c r="T243" s="2">
        <f>IF(N243&gt;0,1,0)</f>
        <v>0</v>
      </c>
    </row>
    <row r="244" spans="1:20" x14ac:dyDescent="0.2">
      <c r="A244" s="6">
        <v>243</v>
      </c>
      <c r="B244" s="3">
        <v>39179</v>
      </c>
      <c r="C244" s="4">
        <v>0.13626074392555501</v>
      </c>
      <c r="D244" s="4">
        <v>0.116771224886179</v>
      </c>
      <c r="E244" s="4">
        <v>0</v>
      </c>
      <c r="F244" s="4">
        <v>0</v>
      </c>
      <c r="G244" s="4">
        <v>29.002239583333299</v>
      </c>
      <c r="H244" s="4" t="s">
        <v>0</v>
      </c>
      <c r="I244" s="4" t="s">
        <v>0</v>
      </c>
      <c r="J244" s="4">
        <v>4</v>
      </c>
      <c r="K244" s="4">
        <v>2007</v>
      </c>
      <c r="M244" s="5" t="s">
        <v>9</v>
      </c>
      <c r="O244" s="4">
        <v>0</v>
      </c>
      <c r="P244" s="4">
        <v>0</v>
      </c>
      <c r="Q244" s="4" t="e">
        <f>(P244-P243)/P243</f>
        <v>#DIV/0!</v>
      </c>
      <c r="R244" s="4">
        <v>13</v>
      </c>
      <c r="S244" s="3">
        <v>39179</v>
      </c>
      <c r="T244" s="2">
        <f>IF(N244&gt;0,1,0)</f>
        <v>0</v>
      </c>
    </row>
    <row r="245" spans="1:20" x14ac:dyDescent="0.2">
      <c r="A245" s="6">
        <v>244</v>
      </c>
      <c r="B245" s="3">
        <v>39187</v>
      </c>
      <c r="C245" s="4">
        <v>0.14148677911402499</v>
      </c>
      <c r="D245" s="4">
        <v>0.13372913002967801</v>
      </c>
      <c r="E245" s="4">
        <v>0</v>
      </c>
      <c r="F245" s="4">
        <v>0</v>
      </c>
      <c r="G245" s="4">
        <v>29.2659375</v>
      </c>
      <c r="H245" s="4" t="s">
        <v>0</v>
      </c>
      <c r="I245" s="4" t="s">
        <v>0</v>
      </c>
      <c r="J245" s="4">
        <v>4</v>
      </c>
      <c r="K245" s="4">
        <v>2007</v>
      </c>
      <c r="M245" s="5"/>
      <c r="O245" s="4">
        <v>0</v>
      </c>
      <c r="P245" s="4">
        <v>0</v>
      </c>
      <c r="Q245" s="4" t="e">
        <f>(P245-P244)/P244</f>
        <v>#DIV/0!</v>
      </c>
      <c r="R245" s="4">
        <v>14</v>
      </c>
      <c r="S245" s="3">
        <v>39187</v>
      </c>
      <c r="T245" s="2">
        <f>IF(N245&gt;0,1,0)</f>
        <v>0</v>
      </c>
    </row>
    <row r="246" spans="1:20" x14ac:dyDescent="0.2">
      <c r="A246" s="6">
        <v>245</v>
      </c>
      <c r="B246" s="3">
        <v>39195</v>
      </c>
      <c r="C246" s="4">
        <v>0.134487866786205</v>
      </c>
      <c r="D246" s="4">
        <v>0.126800524691741</v>
      </c>
      <c r="E246" s="4">
        <v>0</v>
      </c>
      <c r="F246" s="4">
        <v>0</v>
      </c>
      <c r="G246" s="4">
        <v>29.581901041666701</v>
      </c>
      <c r="H246" s="4" t="s">
        <v>0</v>
      </c>
      <c r="I246" s="4" t="s">
        <v>0</v>
      </c>
      <c r="J246" s="4">
        <v>4</v>
      </c>
      <c r="K246" s="4">
        <v>2007</v>
      </c>
      <c r="M246" s="5"/>
      <c r="O246" s="4">
        <v>0</v>
      </c>
      <c r="P246" s="4">
        <v>0</v>
      </c>
      <c r="Q246" s="4" t="e">
        <f>(P246-P245)/P245</f>
        <v>#DIV/0!</v>
      </c>
      <c r="R246" s="4">
        <v>15</v>
      </c>
      <c r="S246" s="3">
        <v>39195</v>
      </c>
      <c r="T246" s="2">
        <f>IF(N246&gt;0,1,0)</f>
        <v>0</v>
      </c>
    </row>
    <row r="247" spans="1:20" x14ac:dyDescent="0.2">
      <c r="A247" s="6">
        <v>246</v>
      </c>
      <c r="B247" s="3">
        <v>39203</v>
      </c>
      <c r="C247" s="4">
        <v>0.13780503073293299</v>
      </c>
      <c r="D247" s="4">
        <v>0.13409369935592</v>
      </c>
      <c r="E247" s="4">
        <v>0</v>
      </c>
      <c r="F247" s="4">
        <v>0</v>
      </c>
      <c r="G247" s="4">
        <v>29.438567708333299</v>
      </c>
      <c r="H247" s="4" t="s">
        <v>0</v>
      </c>
      <c r="I247" s="4" t="s">
        <v>0</v>
      </c>
      <c r="J247" s="4">
        <v>5</v>
      </c>
      <c r="K247" s="4">
        <v>2007</v>
      </c>
      <c r="M247" s="5" t="s">
        <v>8</v>
      </c>
      <c r="O247" s="4">
        <v>0</v>
      </c>
      <c r="P247" s="4">
        <v>0</v>
      </c>
      <c r="Q247" s="4" t="e">
        <f>(P247-P246)/P246</f>
        <v>#DIV/0!</v>
      </c>
      <c r="R247" s="4">
        <v>16</v>
      </c>
      <c r="S247" s="3">
        <v>39203</v>
      </c>
      <c r="T247" s="2">
        <f>IF(N247&gt;0,1,0)</f>
        <v>0</v>
      </c>
    </row>
    <row r="248" spans="1:20" x14ac:dyDescent="0.2">
      <c r="A248" s="6">
        <v>247</v>
      </c>
      <c r="B248" s="3">
        <v>39211</v>
      </c>
      <c r="C248" s="4">
        <v>0.153157450036326</v>
      </c>
      <c r="D248" s="4">
        <v>0.14115213602781301</v>
      </c>
      <c r="E248" s="4">
        <v>0</v>
      </c>
      <c r="F248" s="4">
        <v>0</v>
      </c>
      <c r="G248" s="4">
        <v>29.106041666666599</v>
      </c>
      <c r="H248" s="4" t="s">
        <v>0</v>
      </c>
      <c r="I248" s="4" t="s">
        <v>0</v>
      </c>
      <c r="J248" s="4">
        <v>5</v>
      </c>
      <c r="K248" s="4">
        <v>2007</v>
      </c>
      <c r="M248" s="5"/>
      <c r="O248" s="4">
        <v>0</v>
      </c>
      <c r="P248" s="4">
        <v>0</v>
      </c>
      <c r="Q248" s="4" t="e">
        <f>(P248-P247)/P247</f>
        <v>#DIV/0!</v>
      </c>
      <c r="R248" s="4">
        <v>17</v>
      </c>
      <c r="S248" s="3">
        <v>39211</v>
      </c>
      <c r="T248" s="2">
        <f>IF(N248&gt;0,1,0)</f>
        <v>0</v>
      </c>
    </row>
    <row r="249" spans="1:20" x14ac:dyDescent="0.2">
      <c r="A249" s="6">
        <v>248</v>
      </c>
      <c r="B249" s="3">
        <v>39219</v>
      </c>
      <c r="C249" s="4">
        <v>0.150076859009763</v>
      </c>
      <c r="D249" s="4">
        <v>0.130496857066949</v>
      </c>
      <c r="E249" s="4">
        <v>0</v>
      </c>
      <c r="F249" s="4">
        <v>0</v>
      </c>
      <c r="G249" s="4">
        <v>28.580989583333299</v>
      </c>
      <c r="H249" s="4" t="s">
        <v>0</v>
      </c>
      <c r="I249" s="4" t="s">
        <v>0</v>
      </c>
      <c r="J249" s="4">
        <v>5</v>
      </c>
      <c r="K249" s="4">
        <v>2007</v>
      </c>
      <c r="M249" s="5"/>
      <c r="O249" s="4">
        <v>0</v>
      </c>
      <c r="P249" s="4">
        <v>0</v>
      </c>
      <c r="Q249" s="4" t="e">
        <f>(P249-P248)/P248</f>
        <v>#DIV/0!</v>
      </c>
      <c r="R249" s="4">
        <v>18</v>
      </c>
      <c r="S249" s="3">
        <v>39219</v>
      </c>
      <c r="T249" s="2">
        <f>IF(N249&gt;0,1,0)</f>
        <v>0</v>
      </c>
    </row>
    <row r="250" spans="1:20" x14ac:dyDescent="0.2">
      <c r="A250" s="6">
        <v>249</v>
      </c>
      <c r="B250" s="3">
        <v>39227</v>
      </c>
      <c r="C250" s="4">
        <v>0.14636977136760301</v>
      </c>
      <c r="D250" s="4">
        <v>0.126870793600877</v>
      </c>
      <c r="E250" s="4">
        <v>0</v>
      </c>
      <c r="F250" s="4">
        <v>0</v>
      </c>
      <c r="G250" s="4">
        <v>28.4767447916667</v>
      </c>
      <c r="H250" s="4" t="s">
        <v>0</v>
      </c>
      <c r="I250" s="4" t="s">
        <v>0</v>
      </c>
      <c r="J250" s="4">
        <v>5</v>
      </c>
      <c r="K250" s="4">
        <v>2007</v>
      </c>
      <c r="M250" s="5"/>
      <c r="O250" s="4">
        <v>0</v>
      </c>
      <c r="P250" s="4">
        <v>0</v>
      </c>
      <c r="Q250" s="4" t="e">
        <f>(P250-P249)/P249</f>
        <v>#DIV/0!</v>
      </c>
      <c r="R250" s="4">
        <v>19</v>
      </c>
      <c r="S250" s="3">
        <v>39227</v>
      </c>
      <c r="T250" s="2">
        <f>IF(N250&gt;0,1,0)</f>
        <v>0</v>
      </c>
    </row>
    <row r="251" spans="1:20" x14ac:dyDescent="0.2">
      <c r="A251" s="6">
        <v>250</v>
      </c>
      <c r="B251" s="3">
        <v>39235</v>
      </c>
      <c r="C251" s="4">
        <v>0.16269950987771201</v>
      </c>
      <c r="D251" s="4">
        <v>0.13157384221752499</v>
      </c>
      <c r="E251" s="4">
        <v>0</v>
      </c>
      <c r="F251" s="4">
        <v>0</v>
      </c>
      <c r="G251" s="4">
        <v>28.523828125000001</v>
      </c>
      <c r="H251" s="4" t="s">
        <v>0</v>
      </c>
      <c r="I251" s="4" t="s">
        <v>0</v>
      </c>
      <c r="J251" s="4">
        <v>6</v>
      </c>
      <c r="K251" s="4">
        <v>2007</v>
      </c>
      <c r="M251" s="5" t="s">
        <v>7</v>
      </c>
      <c r="O251" s="4">
        <v>0</v>
      </c>
      <c r="P251" s="4">
        <v>0</v>
      </c>
      <c r="Q251" s="4" t="e">
        <f>(P251-P250)/P250</f>
        <v>#DIV/0!</v>
      </c>
      <c r="R251" s="4">
        <v>20</v>
      </c>
      <c r="S251" s="3">
        <v>39235</v>
      </c>
      <c r="T251" s="2">
        <f>IF(N251&gt;0,1,0)</f>
        <v>0</v>
      </c>
    </row>
    <row r="252" spans="1:20" x14ac:dyDescent="0.2">
      <c r="A252" s="6">
        <v>251</v>
      </c>
      <c r="B252" s="3">
        <v>39243</v>
      </c>
      <c r="C252" s="4">
        <v>0.13084375603055501</v>
      </c>
      <c r="D252" s="4">
        <v>0.13828335578242901</v>
      </c>
      <c r="E252" s="4">
        <v>0</v>
      </c>
      <c r="F252" s="4">
        <v>0</v>
      </c>
      <c r="G252" s="4">
        <v>28.380911458333301</v>
      </c>
      <c r="H252" s="4" t="s">
        <v>0</v>
      </c>
      <c r="I252" s="4" t="s">
        <v>0</v>
      </c>
      <c r="J252" s="4">
        <v>6</v>
      </c>
      <c r="K252" s="4">
        <v>2007</v>
      </c>
      <c r="M252" s="5"/>
      <c r="O252" s="4">
        <v>0</v>
      </c>
      <c r="P252" s="4">
        <v>0</v>
      </c>
      <c r="Q252" s="4" t="e">
        <f>(P252-P251)/P251</f>
        <v>#DIV/0!</v>
      </c>
      <c r="R252" s="4">
        <v>21</v>
      </c>
      <c r="S252" s="3">
        <v>39243</v>
      </c>
      <c r="T252" s="2">
        <f>IF(N252&gt;0,1,0)</f>
        <v>0</v>
      </c>
    </row>
    <row r="253" spans="1:20" x14ac:dyDescent="0.2">
      <c r="A253" s="6">
        <v>252</v>
      </c>
      <c r="B253" s="3">
        <v>39251</v>
      </c>
      <c r="C253" s="4">
        <v>0.14665369335429901</v>
      </c>
      <c r="D253" s="4">
        <v>0.135821253061295</v>
      </c>
      <c r="E253" s="4">
        <v>0</v>
      </c>
      <c r="F253" s="4">
        <v>0</v>
      </c>
      <c r="G253" s="4">
        <v>28.305937499999999</v>
      </c>
      <c r="H253" s="4" t="s">
        <v>0</v>
      </c>
      <c r="I253" s="4" t="s">
        <v>0</v>
      </c>
      <c r="J253" s="4">
        <v>6</v>
      </c>
      <c r="K253" s="4">
        <v>2007</v>
      </c>
      <c r="M253" s="5"/>
      <c r="O253" s="4">
        <v>0</v>
      </c>
      <c r="P253" s="4">
        <v>0</v>
      </c>
      <c r="Q253" s="4" t="e">
        <f>(P253-P252)/P252</f>
        <v>#DIV/0!</v>
      </c>
      <c r="R253" s="4">
        <v>22</v>
      </c>
      <c r="S253" s="3">
        <v>39251</v>
      </c>
      <c r="T253" s="2">
        <f>IF(N253&gt;0,1,0)</f>
        <v>0</v>
      </c>
    </row>
    <row r="254" spans="1:20" x14ac:dyDescent="0.2">
      <c r="A254" s="6">
        <v>253</v>
      </c>
      <c r="B254" s="3">
        <v>39259</v>
      </c>
      <c r="C254" s="4">
        <v>0.150568910367121</v>
      </c>
      <c r="D254" s="4">
        <v>0.13148874541123701</v>
      </c>
      <c r="E254" s="4">
        <v>0</v>
      </c>
      <c r="F254" s="4">
        <v>0</v>
      </c>
      <c r="G254" s="4">
        <v>28.075729166666701</v>
      </c>
      <c r="H254" s="4" t="s">
        <v>0</v>
      </c>
      <c r="I254" s="4" t="s">
        <v>0</v>
      </c>
      <c r="J254" s="4">
        <v>6</v>
      </c>
      <c r="K254" s="4">
        <v>2007</v>
      </c>
      <c r="M254" s="5"/>
      <c r="O254" s="4">
        <v>0</v>
      </c>
      <c r="P254" s="4">
        <v>0</v>
      </c>
      <c r="Q254" s="4" t="e">
        <f>(P254-P253)/P253</f>
        <v>#DIV/0!</v>
      </c>
      <c r="R254" s="4">
        <v>23</v>
      </c>
      <c r="S254" s="3">
        <v>39259</v>
      </c>
      <c r="T254" s="2">
        <f>IF(N254&gt;0,1,0)</f>
        <v>0</v>
      </c>
    </row>
    <row r="255" spans="1:20" x14ac:dyDescent="0.2">
      <c r="A255" s="6">
        <v>254</v>
      </c>
      <c r="B255" s="3">
        <v>39267</v>
      </c>
      <c r="C255" s="4">
        <v>0.18762004002928701</v>
      </c>
      <c r="D255" s="4">
        <v>0.15659415125846901</v>
      </c>
      <c r="E255" s="4">
        <v>0</v>
      </c>
      <c r="F255" s="4">
        <v>0</v>
      </c>
      <c r="G255" s="4">
        <v>27.897265624999999</v>
      </c>
      <c r="H255" s="4" t="s">
        <v>0</v>
      </c>
      <c r="I255" s="4" t="s">
        <v>0</v>
      </c>
      <c r="J255" s="4">
        <v>7</v>
      </c>
      <c r="K255" s="4">
        <v>2007</v>
      </c>
      <c r="M255" s="5" t="s">
        <v>6</v>
      </c>
      <c r="O255" s="4">
        <v>0</v>
      </c>
      <c r="P255" s="4">
        <v>0</v>
      </c>
      <c r="Q255" s="4" t="e">
        <f>(P255-P254)/P254</f>
        <v>#DIV/0!</v>
      </c>
      <c r="R255" s="4">
        <v>24</v>
      </c>
      <c r="S255" s="3">
        <v>39267</v>
      </c>
      <c r="T255" s="2">
        <f>IF(N255&gt;0,1,0)</f>
        <v>0</v>
      </c>
    </row>
    <row r="256" spans="1:20" x14ac:dyDescent="0.2">
      <c r="A256" s="6">
        <v>255</v>
      </c>
      <c r="B256" s="3">
        <v>39275</v>
      </c>
      <c r="C256" s="4">
        <v>0.21357871681197099</v>
      </c>
      <c r="D256" s="4">
        <v>0.178654263416926</v>
      </c>
      <c r="E256" s="4">
        <v>0</v>
      </c>
      <c r="F256" s="4">
        <v>0</v>
      </c>
      <c r="G256" s="4">
        <v>27.695520833333401</v>
      </c>
      <c r="H256" s="4" t="s">
        <v>0</v>
      </c>
      <c r="I256" s="4" t="s">
        <v>0</v>
      </c>
      <c r="J256" s="4">
        <v>7</v>
      </c>
      <c r="K256" s="4">
        <v>2007</v>
      </c>
      <c r="M256" s="5"/>
      <c r="O256" s="4">
        <v>0</v>
      </c>
      <c r="P256" s="4">
        <v>0</v>
      </c>
      <c r="Q256" s="4" t="e">
        <f>(P256-P255)/P255</f>
        <v>#DIV/0!</v>
      </c>
      <c r="R256" s="4">
        <v>25</v>
      </c>
      <c r="S256" s="3">
        <v>39275</v>
      </c>
      <c r="T256" s="2">
        <f>IF(N256&gt;0,1,0)</f>
        <v>0</v>
      </c>
    </row>
    <row r="257" spans="1:20" x14ac:dyDescent="0.2">
      <c r="A257" s="6">
        <v>256</v>
      </c>
      <c r="B257" s="3">
        <v>39283</v>
      </c>
      <c r="C257" s="4">
        <v>0.16002728526170101</v>
      </c>
      <c r="D257" s="4">
        <v>0.13537726799647001</v>
      </c>
      <c r="E257" s="4">
        <v>0</v>
      </c>
      <c r="F257" s="4">
        <v>0</v>
      </c>
      <c r="G257" s="4">
        <v>27.649270833333301</v>
      </c>
      <c r="H257" s="4" t="s">
        <v>0</v>
      </c>
      <c r="I257" s="4" t="s">
        <v>0</v>
      </c>
      <c r="J257" s="4">
        <v>7</v>
      </c>
      <c r="K257" s="4">
        <v>2007</v>
      </c>
      <c r="M257" s="5"/>
      <c r="O257" s="4">
        <v>0</v>
      </c>
      <c r="P257" s="4">
        <v>0</v>
      </c>
      <c r="Q257" s="4" t="e">
        <f>(P257-P256)/P256</f>
        <v>#DIV/0!</v>
      </c>
      <c r="R257" s="4">
        <v>26</v>
      </c>
      <c r="S257" s="3">
        <v>39283</v>
      </c>
      <c r="T257" s="2">
        <f>IF(N257&gt;0,1,0)</f>
        <v>0</v>
      </c>
    </row>
    <row r="258" spans="1:20" x14ac:dyDescent="0.2">
      <c r="A258" s="6">
        <v>257</v>
      </c>
      <c r="B258" s="3">
        <v>39291</v>
      </c>
      <c r="C258" s="4">
        <v>0.168169819439451</v>
      </c>
      <c r="D258" s="4">
        <v>0.145786173641682</v>
      </c>
      <c r="E258" s="4">
        <v>0</v>
      </c>
      <c r="F258" s="4">
        <v>0</v>
      </c>
      <c r="G258" s="4">
        <v>26.9601302083333</v>
      </c>
      <c r="H258" s="4" t="s">
        <v>0</v>
      </c>
      <c r="I258" s="4" t="s">
        <v>0</v>
      </c>
      <c r="J258" s="4">
        <v>7</v>
      </c>
      <c r="K258" s="4">
        <v>2007</v>
      </c>
      <c r="M258" s="5"/>
      <c r="O258" s="4">
        <v>0</v>
      </c>
      <c r="P258" s="4">
        <v>0</v>
      </c>
      <c r="Q258" s="4" t="e">
        <f>(P258-P257)/P257</f>
        <v>#DIV/0!</v>
      </c>
      <c r="R258" s="4">
        <v>27</v>
      </c>
      <c r="S258" s="3">
        <v>39291</v>
      </c>
      <c r="T258" s="2">
        <f>IF(N258&gt;0,1,0)</f>
        <v>0</v>
      </c>
    </row>
    <row r="259" spans="1:20" x14ac:dyDescent="0.2">
      <c r="A259" s="6">
        <v>258</v>
      </c>
      <c r="B259" s="3">
        <v>39299</v>
      </c>
      <c r="C259" s="4">
        <v>0.251326525716909</v>
      </c>
      <c r="D259" s="4">
        <v>0.20586363971233401</v>
      </c>
      <c r="E259" s="4">
        <v>0</v>
      </c>
      <c r="F259" s="4">
        <v>0</v>
      </c>
      <c r="G259" s="4">
        <v>27.434270833333301</v>
      </c>
      <c r="H259" s="4" t="s">
        <v>0</v>
      </c>
      <c r="I259" s="4" t="s">
        <v>0</v>
      </c>
      <c r="J259" s="4">
        <v>8</v>
      </c>
      <c r="K259" s="4">
        <v>2007</v>
      </c>
      <c r="M259" s="5" t="s">
        <v>5</v>
      </c>
      <c r="O259" s="4">
        <v>0</v>
      </c>
      <c r="P259" s="4">
        <v>0</v>
      </c>
      <c r="Q259" s="4" t="e">
        <f>(P259-P258)/P258</f>
        <v>#DIV/0!</v>
      </c>
      <c r="R259" s="4">
        <v>28</v>
      </c>
      <c r="S259" s="3">
        <v>39299</v>
      </c>
      <c r="T259" s="2">
        <f>IF(N259&gt;0,1,0)</f>
        <v>0</v>
      </c>
    </row>
    <row r="260" spans="1:20" x14ac:dyDescent="0.2">
      <c r="A260" s="6">
        <v>259</v>
      </c>
      <c r="B260" s="3">
        <v>39307</v>
      </c>
      <c r="C260" s="4">
        <v>0.16727374530547101</v>
      </c>
      <c r="D260" s="4">
        <v>0.11791692053278301</v>
      </c>
      <c r="E260" s="4">
        <v>0</v>
      </c>
      <c r="F260" s="4">
        <v>0</v>
      </c>
      <c r="G260" s="4">
        <v>27.9148697916667</v>
      </c>
      <c r="H260" s="4" t="s">
        <v>0</v>
      </c>
      <c r="I260" s="4" t="s">
        <v>0</v>
      </c>
      <c r="J260" s="4">
        <v>8</v>
      </c>
      <c r="K260" s="4">
        <v>2007</v>
      </c>
      <c r="M260" s="5"/>
      <c r="O260" s="4">
        <v>0</v>
      </c>
      <c r="P260" s="4">
        <v>0</v>
      </c>
      <c r="Q260" s="4" t="e">
        <f>(P260-P259)/P259</f>
        <v>#DIV/0!</v>
      </c>
      <c r="R260" s="4">
        <v>29</v>
      </c>
      <c r="S260" s="3">
        <v>39307</v>
      </c>
      <c r="T260" s="2">
        <f>IF(N260&gt;0,1,0)</f>
        <v>0</v>
      </c>
    </row>
    <row r="261" spans="1:20" x14ac:dyDescent="0.2">
      <c r="A261" s="6">
        <v>260</v>
      </c>
      <c r="B261" s="3">
        <v>39315</v>
      </c>
      <c r="C261" s="4">
        <v>0.22392187586852499</v>
      </c>
      <c r="D261" s="4" t="s">
        <v>0</v>
      </c>
      <c r="E261" s="4">
        <v>0</v>
      </c>
      <c r="F261" s="4">
        <v>0</v>
      </c>
      <c r="G261" s="4">
        <v>27.807421874999999</v>
      </c>
      <c r="H261" s="4" t="s">
        <v>0</v>
      </c>
      <c r="I261" s="4" t="s">
        <v>0</v>
      </c>
      <c r="J261" s="4">
        <v>8</v>
      </c>
      <c r="K261" s="4">
        <v>2007</v>
      </c>
      <c r="M261" s="5"/>
      <c r="O261" s="4">
        <v>0</v>
      </c>
      <c r="P261" s="4">
        <v>0</v>
      </c>
      <c r="Q261" s="4" t="e">
        <f>(P261-P260)/P260</f>
        <v>#DIV/0!</v>
      </c>
      <c r="R261" s="4">
        <v>30</v>
      </c>
      <c r="S261" s="3">
        <v>39315</v>
      </c>
      <c r="T261" s="2">
        <f>IF(N261&gt;0,1,0)</f>
        <v>0</v>
      </c>
    </row>
    <row r="262" spans="1:20" x14ac:dyDescent="0.2">
      <c r="A262" s="6">
        <v>261</v>
      </c>
      <c r="B262" s="3">
        <v>39323</v>
      </c>
      <c r="C262" s="4">
        <v>0.14341569505631899</v>
      </c>
      <c r="D262" s="4">
        <v>0.118470052878062</v>
      </c>
      <c r="E262" s="4">
        <v>0</v>
      </c>
      <c r="F262" s="4">
        <v>0</v>
      </c>
      <c r="G262" s="4">
        <v>28.076796874999999</v>
      </c>
      <c r="H262" s="4" t="s">
        <v>0</v>
      </c>
      <c r="I262" s="4" t="s">
        <v>0</v>
      </c>
      <c r="J262" s="4">
        <v>8</v>
      </c>
      <c r="K262" s="4">
        <v>2007</v>
      </c>
      <c r="M262" s="5"/>
      <c r="O262" s="4">
        <v>0</v>
      </c>
      <c r="P262" s="4">
        <v>0</v>
      </c>
      <c r="Q262" s="4" t="e">
        <f>(P262-P261)/P261</f>
        <v>#DIV/0!</v>
      </c>
      <c r="R262" s="4">
        <v>31</v>
      </c>
      <c r="S262" s="3">
        <v>39323</v>
      </c>
      <c r="T262" s="2">
        <f>IF(N262&gt;0,1,0)</f>
        <v>0</v>
      </c>
    </row>
    <row r="263" spans="1:20" x14ac:dyDescent="0.2">
      <c r="A263" s="6">
        <v>262</v>
      </c>
      <c r="B263" s="3">
        <v>39331</v>
      </c>
      <c r="C263" s="4">
        <v>0.12339200728706</v>
      </c>
      <c r="D263" s="4">
        <v>0.11478418409824399</v>
      </c>
      <c r="E263" s="4">
        <v>0</v>
      </c>
      <c r="F263" s="4">
        <v>0</v>
      </c>
      <c r="G263" s="4">
        <v>27.899791666666701</v>
      </c>
      <c r="H263" s="4" t="s">
        <v>0</v>
      </c>
      <c r="I263" s="4" t="s">
        <v>0</v>
      </c>
      <c r="J263" s="4">
        <v>9</v>
      </c>
      <c r="K263" s="4">
        <v>2007</v>
      </c>
      <c r="M263" s="5" t="s">
        <v>4</v>
      </c>
      <c r="O263" s="4">
        <v>0</v>
      </c>
      <c r="P263" s="4">
        <v>0</v>
      </c>
      <c r="Q263" s="4" t="e">
        <f>(P263-P262)/P262</f>
        <v>#DIV/0!</v>
      </c>
      <c r="R263" s="4">
        <v>32</v>
      </c>
      <c r="S263" s="3">
        <v>39331</v>
      </c>
      <c r="T263" s="2">
        <f>IF(N263&gt;0,1,0)</f>
        <v>0</v>
      </c>
    </row>
    <row r="264" spans="1:20" x14ac:dyDescent="0.2">
      <c r="A264" s="6">
        <v>263</v>
      </c>
      <c r="B264" s="3">
        <v>39339</v>
      </c>
      <c r="C264" s="4">
        <v>0.13326067954767501</v>
      </c>
      <c r="D264" s="4">
        <v>0.10333484535416</v>
      </c>
      <c r="E264" s="4">
        <v>0</v>
      </c>
      <c r="F264" s="4">
        <v>0</v>
      </c>
      <c r="G264" s="4">
        <v>28.023359374999998</v>
      </c>
      <c r="H264" s="4" t="s">
        <v>0</v>
      </c>
      <c r="I264" s="4" t="s">
        <v>0</v>
      </c>
      <c r="J264" s="4">
        <v>9</v>
      </c>
      <c r="K264" s="4">
        <v>2007</v>
      </c>
      <c r="M264" s="5"/>
      <c r="O264" s="4">
        <v>0</v>
      </c>
      <c r="P264" s="4">
        <v>0</v>
      </c>
      <c r="Q264" s="4" t="e">
        <f>(P264-P263)/P263</f>
        <v>#DIV/0!</v>
      </c>
      <c r="R264" s="4">
        <v>33</v>
      </c>
      <c r="S264" s="3">
        <v>39339</v>
      </c>
      <c r="T264" s="2">
        <f>IF(N264&gt;0,1,0)</f>
        <v>0</v>
      </c>
    </row>
    <row r="265" spans="1:20" x14ac:dyDescent="0.2">
      <c r="A265" s="6">
        <v>264</v>
      </c>
      <c r="B265" s="3">
        <v>39347</v>
      </c>
      <c r="C265" s="4">
        <v>0.17147829997188899</v>
      </c>
      <c r="D265" s="4">
        <v>0.143073131640752</v>
      </c>
      <c r="E265" s="4">
        <v>0</v>
      </c>
      <c r="F265" s="4">
        <v>0</v>
      </c>
      <c r="G265" s="4">
        <v>27.896223958333302</v>
      </c>
      <c r="H265" s="4" t="s">
        <v>0</v>
      </c>
      <c r="I265" s="4" t="s">
        <v>0</v>
      </c>
      <c r="J265" s="4">
        <v>9</v>
      </c>
      <c r="K265" s="4">
        <v>2007</v>
      </c>
      <c r="M265" s="5"/>
      <c r="O265" s="4">
        <v>0</v>
      </c>
      <c r="P265" s="4">
        <v>0</v>
      </c>
      <c r="Q265" s="4" t="e">
        <f>(P265-P264)/P264</f>
        <v>#DIV/0!</v>
      </c>
      <c r="R265" s="4">
        <v>34</v>
      </c>
      <c r="S265" s="3">
        <v>39347</v>
      </c>
      <c r="T265" s="2">
        <f>IF(N265&gt;0,1,0)</f>
        <v>0</v>
      </c>
    </row>
    <row r="266" spans="1:20" x14ac:dyDescent="0.2">
      <c r="A266" s="6">
        <v>265</v>
      </c>
      <c r="B266" s="3">
        <v>39355</v>
      </c>
      <c r="C266" s="4">
        <v>0.13150356216749701</v>
      </c>
      <c r="D266" s="4">
        <v>0.14292253678043701</v>
      </c>
      <c r="E266" s="4">
        <v>0</v>
      </c>
      <c r="F266" s="4">
        <v>0</v>
      </c>
      <c r="G266" s="4">
        <v>28.009557291666699</v>
      </c>
      <c r="H266" s="4" t="s">
        <v>0</v>
      </c>
      <c r="I266" s="4" t="s">
        <v>0</v>
      </c>
      <c r="J266" s="4">
        <v>9</v>
      </c>
      <c r="K266" s="4">
        <v>2007</v>
      </c>
      <c r="M266" s="5"/>
      <c r="O266" s="4">
        <v>0</v>
      </c>
      <c r="P266" s="4">
        <v>0</v>
      </c>
      <c r="Q266" s="4" t="e">
        <f>(P266-P265)/P265</f>
        <v>#DIV/0!</v>
      </c>
      <c r="R266" s="4">
        <v>35</v>
      </c>
      <c r="S266" s="3">
        <v>39355</v>
      </c>
      <c r="T266" s="2">
        <f>IF(N266&gt;0,1,0)</f>
        <v>0</v>
      </c>
    </row>
    <row r="267" spans="1:20" x14ac:dyDescent="0.2">
      <c r="A267" s="6">
        <v>266</v>
      </c>
      <c r="B267" s="3">
        <v>39363</v>
      </c>
      <c r="C267" s="4">
        <v>0.111981003106955</v>
      </c>
      <c r="D267" s="4">
        <v>9.07661976913611E-2</v>
      </c>
      <c r="E267" s="4">
        <v>0</v>
      </c>
      <c r="F267" s="4">
        <v>0</v>
      </c>
      <c r="G267" s="4">
        <v>28.2366666666667</v>
      </c>
      <c r="H267" s="4" t="s">
        <v>0</v>
      </c>
      <c r="I267" s="4">
        <v>7.14285714285714E-3</v>
      </c>
      <c r="J267" s="4">
        <v>10</v>
      </c>
      <c r="K267" s="4">
        <v>2007</v>
      </c>
      <c r="M267" s="5" t="s">
        <v>3</v>
      </c>
      <c r="O267" s="4">
        <v>0</v>
      </c>
      <c r="P267" s="4">
        <v>0</v>
      </c>
      <c r="Q267" s="4" t="e">
        <f>(P267-P266)/P266</f>
        <v>#DIV/0!</v>
      </c>
      <c r="R267" s="4">
        <v>36</v>
      </c>
      <c r="S267" s="3">
        <v>39363</v>
      </c>
      <c r="T267" s="2">
        <f>IF(N267&gt;0,1,0)</f>
        <v>0</v>
      </c>
    </row>
    <row r="268" spans="1:20" x14ac:dyDescent="0.2">
      <c r="A268" s="6">
        <v>267</v>
      </c>
      <c r="B268" s="3">
        <v>39371</v>
      </c>
      <c r="C268" s="4">
        <v>0.107511474171302</v>
      </c>
      <c r="D268" s="4">
        <v>9.2044210682312694E-2</v>
      </c>
      <c r="E268" s="4">
        <v>140</v>
      </c>
      <c r="F268" s="4">
        <v>1</v>
      </c>
      <c r="G268" s="4">
        <v>28.415781249999998</v>
      </c>
      <c r="H268" s="4">
        <v>7.14285714285714E-3</v>
      </c>
      <c r="I268" s="4">
        <v>4.8840048840048798E-2</v>
      </c>
      <c r="J268" s="4">
        <v>10</v>
      </c>
      <c r="K268" s="4">
        <v>2007</v>
      </c>
      <c r="M268" s="5"/>
      <c r="O268" s="4">
        <v>7.14285714285714E-3</v>
      </c>
      <c r="P268" s="4">
        <v>7.14285714285714E-3</v>
      </c>
      <c r="Q268" s="4" t="e">
        <f>(P268-P267)/P267</f>
        <v>#DIV/0!</v>
      </c>
      <c r="R268" s="4">
        <v>37</v>
      </c>
      <c r="S268" s="3">
        <v>39371</v>
      </c>
      <c r="T268" s="2">
        <f>IF(N268&gt;0,1,0)</f>
        <v>0</v>
      </c>
    </row>
    <row r="269" spans="1:20" x14ac:dyDescent="0.2">
      <c r="A269" s="6">
        <v>268</v>
      </c>
      <c r="B269" s="10">
        <v>39379</v>
      </c>
      <c r="C269" s="4">
        <v>0.100420130603015</v>
      </c>
      <c r="D269" s="4">
        <v>8.5296294341484696E-2</v>
      </c>
      <c r="E269" s="4">
        <v>163.80000000000001</v>
      </c>
      <c r="F269" s="4">
        <v>8</v>
      </c>
      <c r="G269" s="4">
        <v>28.338958333333299</v>
      </c>
      <c r="H269" s="4">
        <v>4.8840048840048798E-2</v>
      </c>
      <c r="I269" s="4">
        <v>0.171875</v>
      </c>
      <c r="J269" s="4">
        <v>10</v>
      </c>
      <c r="K269" s="4">
        <v>2007</v>
      </c>
      <c r="M269" s="5"/>
      <c r="O269" s="4">
        <v>4.8840048840048798E-2</v>
      </c>
      <c r="P269" s="4">
        <v>4.8840048840048798E-2</v>
      </c>
      <c r="Q269" s="13">
        <f>(P269-P268)/P268</f>
        <v>5.8376068376068346</v>
      </c>
      <c r="R269" s="4">
        <v>38</v>
      </c>
      <c r="S269" s="12">
        <v>39379</v>
      </c>
      <c r="T269" s="2">
        <f>IF(N269&gt;0,1,0)</f>
        <v>0</v>
      </c>
    </row>
    <row r="270" spans="1:20" x14ac:dyDescent="0.2">
      <c r="A270" s="6">
        <v>269</v>
      </c>
      <c r="B270" s="3">
        <v>39387</v>
      </c>
      <c r="C270" s="4">
        <v>0.127186201834421</v>
      </c>
      <c r="D270" s="4">
        <v>0.112991940230131</v>
      </c>
      <c r="E270" s="4">
        <v>192</v>
      </c>
      <c r="F270" s="4">
        <v>33</v>
      </c>
      <c r="G270" s="4">
        <v>28.6855729166667</v>
      </c>
      <c r="H270" s="4">
        <v>0.171875</v>
      </c>
      <c r="I270" s="4">
        <v>0.3125</v>
      </c>
      <c r="J270" s="4">
        <v>11</v>
      </c>
      <c r="K270" s="4">
        <v>2007</v>
      </c>
      <c r="M270" s="5" t="s">
        <v>2</v>
      </c>
      <c r="O270" s="4">
        <v>0.171875</v>
      </c>
      <c r="P270" s="4">
        <v>0.171875</v>
      </c>
      <c r="Q270" s="4">
        <f>(P270-P269)/P269</f>
        <v>2.519140625000003</v>
      </c>
      <c r="R270" s="4">
        <v>39</v>
      </c>
      <c r="S270" s="3">
        <v>39387</v>
      </c>
      <c r="T270" s="2">
        <f>IF(N270&gt;0,1,0)</f>
        <v>0</v>
      </c>
    </row>
    <row r="271" spans="1:20" x14ac:dyDescent="0.2">
      <c r="A271" s="6">
        <v>270</v>
      </c>
      <c r="B271" s="3">
        <v>39395</v>
      </c>
      <c r="C271" s="4">
        <v>0.105903621103901</v>
      </c>
      <c r="D271" s="4">
        <v>0.10609624659021701</v>
      </c>
      <c r="E271" s="4">
        <v>192</v>
      </c>
      <c r="F271" s="4">
        <v>60</v>
      </c>
      <c r="G271" s="4">
        <v>29.067890625</v>
      </c>
      <c r="H271" s="4">
        <v>0.3125</v>
      </c>
      <c r="I271" s="4">
        <v>0.175531914893617</v>
      </c>
      <c r="J271" s="4">
        <v>11</v>
      </c>
      <c r="K271" s="4">
        <v>2007</v>
      </c>
      <c r="M271" s="5"/>
      <c r="O271" s="4">
        <v>0.3125</v>
      </c>
      <c r="P271" s="4">
        <v>0.3125</v>
      </c>
      <c r="Q271" s="4">
        <f>(P271-P270)/P270</f>
        <v>0.81818181818181823</v>
      </c>
      <c r="R271" s="4">
        <v>40</v>
      </c>
      <c r="S271" s="3">
        <v>39395</v>
      </c>
      <c r="T271" s="2">
        <f>IF(N271&gt;0,1,0)</f>
        <v>0</v>
      </c>
    </row>
    <row r="272" spans="1:20" x14ac:dyDescent="0.2">
      <c r="A272" s="6">
        <v>271</v>
      </c>
      <c r="B272" s="3">
        <v>39403</v>
      </c>
      <c r="C272" s="4">
        <v>0.16135066515262</v>
      </c>
      <c r="D272" s="4">
        <v>0.15284959971904799</v>
      </c>
      <c r="E272" s="4">
        <v>188</v>
      </c>
      <c r="F272" s="4">
        <v>33</v>
      </c>
      <c r="G272" s="4">
        <v>28.5078385416667</v>
      </c>
      <c r="H272" s="4">
        <v>0.175531914893617</v>
      </c>
      <c r="I272" s="4">
        <v>0.61956521739130399</v>
      </c>
      <c r="J272" s="4">
        <v>11</v>
      </c>
      <c r="K272" s="4">
        <v>2007</v>
      </c>
      <c r="M272" s="5"/>
      <c r="O272" s="4">
        <v>0.175531914893617</v>
      </c>
      <c r="P272" s="4">
        <v>0.175531914893617</v>
      </c>
      <c r="Q272" s="4">
        <f>(P272-P271)/P271</f>
        <v>-0.43829787234042561</v>
      </c>
      <c r="R272" s="4">
        <v>41</v>
      </c>
      <c r="S272" s="3">
        <v>39403</v>
      </c>
      <c r="T272" s="2">
        <f>IF(N272&gt;0,1,0)</f>
        <v>0</v>
      </c>
    </row>
    <row r="273" spans="1:20" x14ac:dyDescent="0.2">
      <c r="A273" s="6">
        <v>272</v>
      </c>
      <c r="B273" s="3">
        <v>39411</v>
      </c>
      <c r="C273" s="4">
        <v>0.13983897119760499</v>
      </c>
      <c r="D273" s="4">
        <v>0.132785441974799</v>
      </c>
      <c r="E273" s="4">
        <v>184</v>
      </c>
      <c r="F273" s="4">
        <v>114</v>
      </c>
      <c r="G273" s="4">
        <v>28.172890625000001</v>
      </c>
      <c r="H273" s="4">
        <v>0.61956521739130399</v>
      </c>
      <c r="I273" s="4">
        <v>0.82814238042269195</v>
      </c>
      <c r="J273" s="4">
        <v>11</v>
      </c>
      <c r="K273" s="4">
        <v>2007</v>
      </c>
      <c r="M273" s="5"/>
      <c r="N273" s="4">
        <v>0.61956521739130399</v>
      </c>
      <c r="P273" s="4">
        <v>0.61956521739130399</v>
      </c>
      <c r="Q273" s="8">
        <f>(P273-P272)/P272</f>
        <v>2.5296442687747023</v>
      </c>
      <c r="R273" s="4">
        <v>42</v>
      </c>
      <c r="S273" s="7">
        <v>39411</v>
      </c>
      <c r="T273" s="2">
        <f>IF(N273&gt;0,1,0)</f>
        <v>1</v>
      </c>
    </row>
    <row r="274" spans="1:20" x14ac:dyDescent="0.2">
      <c r="A274" s="6">
        <v>273</v>
      </c>
      <c r="B274" s="3">
        <v>39419</v>
      </c>
      <c r="C274" s="4">
        <v>0.14601685768183401</v>
      </c>
      <c r="D274" s="4">
        <v>0.12684834624330199</v>
      </c>
      <c r="E274" s="4">
        <v>179.8</v>
      </c>
      <c r="F274" s="4">
        <v>148.9</v>
      </c>
      <c r="G274" s="4">
        <v>28.186979166666699</v>
      </c>
      <c r="H274" s="4">
        <v>0.82814238042269195</v>
      </c>
      <c r="I274" s="4">
        <v>0.97395833333333304</v>
      </c>
      <c r="J274" s="4">
        <v>12</v>
      </c>
      <c r="K274" s="4">
        <v>2007</v>
      </c>
      <c r="M274" s="5" t="s">
        <v>1</v>
      </c>
      <c r="N274" s="4">
        <v>0.82814238042269195</v>
      </c>
      <c r="P274" s="4">
        <v>0.82814238042269195</v>
      </c>
      <c r="Q274" s="4">
        <f>(P274-P273)/P273</f>
        <v>0.33665085962960883</v>
      </c>
      <c r="R274" s="4">
        <v>43</v>
      </c>
      <c r="S274" s="3">
        <v>39419</v>
      </c>
      <c r="T274" s="2">
        <f>IF(N274&gt;0,1,0)</f>
        <v>1</v>
      </c>
    </row>
    <row r="275" spans="1:20" x14ac:dyDescent="0.2">
      <c r="A275" s="6">
        <v>274</v>
      </c>
      <c r="B275" s="3">
        <v>39427</v>
      </c>
      <c r="C275" s="4">
        <v>0.13983561959246099</v>
      </c>
      <c r="D275" s="4">
        <v>0.13329947988192201</v>
      </c>
      <c r="E275" s="4">
        <v>192</v>
      </c>
      <c r="F275" s="4">
        <v>187</v>
      </c>
      <c r="G275" s="4">
        <v>27.834609374999999</v>
      </c>
      <c r="H275" s="4">
        <v>0.97395833333333304</v>
      </c>
      <c r="I275" s="4">
        <v>0.99468085106382997</v>
      </c>
      <c r="J275" s="4">
        <v>12</v>
      </c>
      <c r="K275" s="4">
        <v>2007</v>
      </c>
      <c r="M275" s="5"/>
      <c r="N275" s="4">
        <v>0.97395833333333304</v>
      </c>
      <c r="P275" s="4">
        <v>0.97395833333333304</v>
      </c>
      <c r="Q275" s="4">
        <f>(P275-P274)/P274</f>
        <v>0.17607594582493799</v>
      </c>
      <c r="R275" s="4">
        <v>44</v>
      </c>
      <c r="S275" s="3">
        <v>39427</v>
      </c>
      <c r="T275" s="2">
        <f>IF(N275&gt;0,1,0)</f>
        <v>1</v>
      </c>
    </row>
    <row r="276" spans="1:20" x14ac:dyDescent="0.2">
      <c r="A276" s="6">
        <v>275</v>
      </c>
      <c r="B276" s="3">
        <v>39435</v>
      </c>
      <c r="C276" s="4">
        <v>0.13344153529033101</v>
      </c>
      <c r="D276" s="4">
        <v>0.11430241415898</v>
      </c>
      <c r="E276" s="4">
        <v>188</v>
      </c>
      <c r="F276" s="4">
        <v>187</v>
      </c>
      <c r="G276" s="4">
        <v>27.937239583333302</v>
      </c>
      <c r="H276" s="4">
        <v>0.99468085106382997</v>
      </c>
      <c r="I276" s="4">
        <v>0.681034482758621</v>
      </c>
      <c r="J276" s="4">
        <v>12</v>
      </c>
      <c r="K276" s="4">
        <v>2007</v>
      </c>
      <c r="M276" s="5"/>
      <c r="N276" s="4">
        <v>0.99468085106382997</v>
      </c>
      <c r="P276" s="4">
        <v>0.99468085106382997</v>
      </c>
      <c r="Q276" s="4">
        <f>(P276-P275)/P275</f>
        <v>2.1276595744681354E-2</v>
      </c>
      <c r="R276" s="4">
        <v>45</v>
      </c>
      <c r="S276" s="3">
        <v>39435</v>
      </c>
      <c r="T276" s="2">
        <f>IF(N276&gt;0,1,0)</f>
        <v>1</v>
      </c>
    </row>
    <row r="277" spans="1:20" x14ac:dyDescent="0.2">
      <c r="A277" s="6">
        <v>276</v>
      </c>
      <c r="B277" s="3">
        <v>39443</v>
      </c>
      <c r="C277" s="4">
        <v>0.11743075505528699</v>
      </c>
      <c r="D277" s="4">
        <v>9.1974556446075398E-2</v>
      </c>
      <c r="E277" s="4">
        <v>116</v>
      </c>
      <c r="F277" s="4">
        <v>79</v>
      </c>
      <c r="G277" s="4">
        <v>28.258083333333399</v>
      </c>
      <c r="H277" s="4">
        <v>0.681034482758621</v>
      </c>
      <c r="I277" s="4">
        <v>0.48958333333333298</v>
      </c>
      <c r="J277" s="4">
        <v>12</v>
      </c>
      <c r="K277" s="4">
        <v>2007</v>
      </c>
      <c r="M277" s="5"/>
      <c r="N277" s="4">
        <v>0.681034482758621</v>
      </c>
      <c r="P277" s="4">
        <v>0.681034482758621</v>
      </c>
      <c r="Q277" s="4">
        <f>(P277-P276)/P276</f>
        <v>-0.31532362161165389</v>
      </c>
      <c r="R277" s="4">
        <v>46</v>
      </c>
      <c r="S277" s="3">
        <v>39443</v>
      </c>
      <c r="T277" s="2">
        <f>IF(N277&gt;0,1,0)</f>
        <v>1</v>
      </c>
    </row>
    <row r="278" spans="1:20" x14ac:dyDescent="0.2">
      <c r="A278" s="6">
        <v>277</v>
      </c>
      <c r="B278" s="3">
        <v>39448</v>
      </c>
      <c r="C278" s="4">
        <v>0.11221095909261</v>
      </c>
      <c r="D278" s="4">
        <v>0.100380423168341</v>
      </c>
      <c r="E278" s="4">
        <v>192</v>
      </c>
      <c r="F278" s="4">
        <v>94</v>
      </c>
      <c r="G278" s="4">
        <v>28.895781249999999</v>
      </c>
      <c r="H278" s="4">
        <v>0.48958333333333298</v>
      </c>
      <c r="I278" s="4">
        <v>0.22916666666666699</v>
      </c>
      <c r="J278" s="4">
        <v>1</v>
      </c>
      <c r="K278" s="4">
        <v>2008</v>
      </c>
      <c r="L278">
        <v>2008</v>
      </c>
      <c r="M278" s="5" t="s">
        <v>12</v>
      </c>
      <c r="N278" s="4">
        <v>0.48958333333333298</v>
      </c>
      <c r="P278" s="4">
        <v>0.48958333333333298</v>
      </c>
      <c r="Q278" s="4">
        <f>(P278-P277)/P277</f>
        <v>-0.28111814345991643</v>
      </c>
      <c r="R278" s="4">
        <v>1</v>
      </c>
      <c r="S278" s="3">
        <v>39448</v>
      </c>
      <c r="T278" s="2">
        <f>IF(N278&gt;0,1,0)</f>
        <v>1</v>
      </c>
    </row>
    <row r="279" spans="1:20" x14ac:dyDescent="0.2">
      <c r="A279" s="6">
        <v>278</v>
      </c>
      <c r="B279" s="10">
        <v>39456</v>
      </c>
      <c r="C279" s="4">
        <v>0.116042964419143</v>
      </c>
      <c r="D279" s="4">
        <v>0.100790268431107</v>
      </c>
      <c r="E279" s="4">
        <v>192</v>
      </c>
      <c r="F279" s="4">
        <v>44</v>
      </c>
      <c r="G279" s="4">
        <v>29.563229166666702</v>
      </c>
      <c r="H279" s="4">
        <v>0.22916666666666699</v>
      </c>
      <c r="I279" s="4">
        <v>4.1666666666666699E-2</v>
      </c>
      <c r="J279" s="4">
        <v>1</v>
      </c>
      <c r="K279" s="4">
        <v>2008</v>
      </c>
      <c r="M279" s="5"/>
      <c r="N279" s="4">
        <v>0.22916666666666699</v>
      </c>
      <c r="P279" s="4">
        <v>0.22916666666666699</v>
      </c>
      <c r="Q279" s="4">
        <f>(P279-P278)/P278</f>
        <v>-0.53191489361702027</v>
      </c>
      <c r="R279" s="4">
        <v>2</v>
      </c>
      <c r="S279" s="10">
        <v>39456</v>
      </c>
      <c r="T279" s="2">
        <f>IF(N279&gt;0,1,0)</f>
        <v>1</v>
      </c>
    </row>
    <row r="280" spans="1:20" x14ac:dyDescent="0.2">
      <c r="A280" s="6">
        <v>279</v>
      </c>
      <c r="B280" s="3">
        <v>39464</v>
      </c>
      <c r="C280" s="4">
        <v>0.14393297138054001</v>
      </c>
      <c r="D280" s="4">
        <v>0.132266158858935</v>
      </c>
      <c r="E280" s="4">
        <v>192</v>
      </c>
      <c r="F280" s="4">
        <v>8</v>
      </c>
      <c r="G280" s="4">
        <v>29.292265624999999</v>
      </c>
      <c r="H280" s="4">
        <v>4.1666666666666699E-2</v>
      </c>
      <c r="I280" s="4">
        <v>0.41847826086956502</v>
      </c>
      <c r="J280" s="4">
        <v>1</v>
      </c>
      <c r="K280" s="4">
        <v>2008</v>
      </c>
      <c r="M280" s="5"/>
      <c r="O280" s="4">
        <v>4.1666666666666699E-2</v>
      </c>
      <c r="P280" s="4">
        <v>4.1666666666666699E-2</v>
      </c>
      <c r="Q280" s="9">
        <f>(P280-P279)/P279</f>
        <v>-0.81818181818181823</v>
      </c>
      <c r="R280" s="4">
        <v>3</v>
      </c>
      <c r="S280" s="3">
        <v>39464</v>
      </c>
      <c r="T280" s="2">
        <f>IF(N280&gt;0,1,0)</f>
        <v>0</v>
      </c>
    </row>
    <row r="281" spans="1:20" x14ac:dyDescent="0.2">
      <c r="A281" s="6">
        <v>280</v>
      </c>
      <c r="B281" s="3">
        <v>39472</v>
      </c>
      <c r="C281" s="4" t="s">
        <v>0</v>
      </c>
      <c r="D281" s="4" t="s">
        <v>0</v>
      </c>
      <c r="E281" s="4">
        <v>184</v>
      </c>
      <c r="F281" s="4">
        <v>77</v>
      </c>
      <c r="G281" s="4">
        <v>28.649140625000001</v>
      </c>
      <c r="H281" s="4">
        <v>0.41847826086956502</v>
      </c>
      <c r="I281" s="4">
        <v>0.211935303959844</v>
      </c>
      <c r="J281" s="4">
        <v>1</v>
      </c>
      <c r="K281" s="4">
        <v>2008</v>
      </c>
      <c r="M281" s="5"/>
      <c r="O281" s="4">
        <v>0.41847826086956502</v>
      </c>
      <c r="P281" s="4">
        <v>0.41847826086956502</v>
      </c>
      <c r="Q281" s="4">
        <f>(P281-P280)/P280</f>
        <v>9.0434782608695539</v>
      </c>
      <c r="R281" s="4">
        <v>4</v>
      </c>
      <c r="S281" s="3">
        <v>39472</v>
      </c>
      <c r="T281" s="2">
        <f>IF(N281&gt;0,1,0)</f>
        <v>0</v>
      </c>
    </row>
    <row r="282" spans="1:20" x14ac:dyDescent="0.2">
      <c r="A282" s="6">
        <v>281</v>
      </c>
      <c r="B282" s="3">
        <v>39480</v>
      </c>
      <c r="C282" s="4" t="s">
        <v>0</v>
      </c>
      <c r="D282" s="4" t="s">
        <v>0</v>
      </c>
      <c r="E282" s="4">
        <v>179.3</v>
      </c>
      <c r="F282" s="4">
        <v>38</v>
      </c>
      <c r="G282" s="4">
        <v>28.188411458333299</v>
      </c>
      <c r="H282" s="4">
        <v>0.211935303959844</v>
      </c>
      <c r="I282" s="4">
        <v>1.0869565217391301E-2</v>
      </c>
      <c r="J282" s="4">
        <v>2</v>
      </c>
      <c r="K282" s="4">
        <v>2008</v>
      </c>
      <c r="M282" s="5" t="s">
        <v>11</v>
      </c>
      <c r="O282" s="4">
        <v>0.211935303959844</v>
      </c>
      <c r="P282" s="4">
        <v>0.211935303959844</v>
      </c>
      <c r="Q282" s="4">
        <f>(P282-P281)/P281</f>
        <v>-0.4935571957323206</v>
      </c>
      <c r="R282" s="4">
        <v>5</v>
      </c>
      <c r="S282" s="3">
        <v>39480</v>
      </c>
      <c r="T282" s="2">
        <f>IF(N282&gt;0,1,0)</f>
        <v>0</v>
      </c>
    </row>
    <row r="283" spans="1:20" x14ac:dyDescent="0.2">
      <c r="A283" s="6">
        <v>282</v>
      </c>
      <c r="B283" s="3">
        <v>39488</v>
      </c>
      <c r="C283" s="4">
        <v>0.10124957913325899</v>
      </c>
      <c r="D283" s="4">
        <v>8.6461812257766696E-2</v>
      </c>
      <c r="E283" s="4">
        <v>184</v>
      </c>
      <c r="F283" s="4">
        <v>2</v>
      </c>
      <c r="G283" s="4">
        <v>28.427968750000002</v>
      </c>
      <c r="H283" s="4">
        <v>1.0869565217391301E-2</v>
      </c>
      <c r="I283" s="4">
        <v>0.13888888888888901</v>
      </c>
      <c r="J283" s="4">
        <v>2</v>
      </c>
      <c r="K283" s="4">
        <v>2008</v>
      </c>
      <c r="M283" s="5"/>
      <c r="O283" s="4">
        <v>1.0869565217391301E-2</v>
      </c>
      <c r="P283" s="4">
        <v>1.0869565217391301E-2</v>
      </c>
      <c r="Q283" s="4">
        <f>(P283-P282)/P282</f>
        <v>-0.94871281464530899</v>
      </c>
      <c r="R283" s="4">
        <v>6</v>
      </c>
      <c r="S283" s="3">
        <v>39488</v>
      </c>
      <c r="T283" s="2">
        <f>IF(N283&gt;0,1,0)</f>
        <v>0</v>
      </c>
    </row>
    <row r="284" spans="1:20" x14ac:dyDescent="0.2">
      <c r="A284" s="6">
        <v>283</v>
      </c>
      <c r="B284" s="3">
        <v>39496</v>
      </c>
      <c r="C284" s="4">
        <v>9.2431990928213401E-2</v>
      </c>
      <c r="D284" s="4">
        <v>7.6922571907440798E-2</v>
      </c>
      <c r="E284" s="4">
        <v>180</v>
      </c>
      <c r="F284" s="4">
        <v>25</v>
      </c>
      <c r="G284" s="4">
        <v>28.456406250000001</v>
      </c>
      <c r="H284" s="4">
        <v>0.13888888888888901</v>
      </c>
      <c r="I284" s="4">
        <v>0.1</v>
      </c>
      <c r="J284" s="4">
        <v>2</v>
      </c>
      <c r="K284" s="4">
        <v>2008</v>
      </c>
      <c r="M284" s="5"/>
      <c r="O284" s="4">
        <v>0.13888888888888901</v>
      </c>
      <c r="P284" s="4">
        <v>0.13888888888888901</v>
      </c>
      <c r="Q284" s="4">
        <f>(P284-P283)/P283</f>
        <v>11.777777777777793</v>
      </c>
      <c r="R284" s="4">
        <v>7</v>
      </c>
      <c r="S284" s="3">
        <v>39496</v>
      </c>
      <c r="T284" s="2">
        <f>IF(N284&gt;0,1,0)</f>
        <v>0</v>
      </c>
    </row>
    <row r="285" spans="1:20" x14ac:dyDescent="0.2">
      <c r="A285" s="6">
        <v>284</v>
      </c>
      <c r="B285" s="3">
        <v>39504</v>
      </c>
      <c r="C285" s="4">
        <v>0.144767186641693</v>
      </c>
      <c r="D285" s="4">
        <v>0.15920129915078499</v>
      </c>
      <c r="E285" s="4">
        <v>180</v>
      </c>
      <c r="F285" s="4">
        <v>18</v>
      </c>
      <c r="G285" s="4">
        <v>28.310937500000001</v>
      </c>
      <c r="H285" s="4">
        <v>0.1</v>
      </c>
      <c r="I285" s="4">
        <v>1.6666666666666701E-2</v>
      </c>
      <c r="J285" s="4">
        <v>2</v>
      </c>
      <c r="K285" s="4">
        <v>2008</v>
      </c>
      <c r="M285" s="5"/>
      <c r="O285" s="4">
        <v>0.1</v>
      </c>
      <c r="P285" s="4">
        <v>0.1</v>
      </c>
      <c r="Q285" s="4">
        <f>(P285-P284)/P284</f>
        <v>-0.28000000000000058</v>
      </c>
      <c r="R285" s="4">
        <v>8</v>
      </c>
      <c r="S285" s="3">
        <v>39504</v>
      </c>
      <c r="T285" s="2">
        <f>IF(N285&gt;0,1,0)</f>
        <v>0</v>
      </c>
    </row>
    <row r="286" spans="1:20" x14ac:dyDescent="0.2">
      <c r="A286" s="6">
        <v>285</v>
      </c>
      <c r="B286" s="3">
        <v>39512</v>
      </c>
      <c r="C286" s="4">
        <v>0.11101191884113699</v>
      </c>
      <c r="D286" s="4">
        <v>9.3879405409097699E-2</v>
      </c>
      <c r="E286" s="4">
        <v>180</v>
      </c>
      <c r="F286" s="4">
        <v>3</v>
      </c>
      <c r="G286" s="4">
        <v>28.367630208333299</v>
      </c>
      <c r="H286" s="4">
        <v>1.6666666666666701E-2</v>
      </c>
      <c r="I286" s="4">
        <v>0</v>
      </c>
      <c r="J286" s="4">
        <v>3</v>
      </c>
      <c r="K286" s="4">
        <v>2008</v>
      </c>
      <c r="M286" s="5" t="s">
        <v>10</v>
      </c>
      <c r="O286" s="4">
        <v>1.6666666666666701E-2</v>
      </c>
      <c r="P286" s="4">
        <v>1.6666666666666701E-2</v>
      </c>
      <c r="Q286" s="4">
        <f>(P286-P285)/P285</f>
        <v>-0.83333333333333293</v>
      </c>
      <c r="R286" s="4">
        <v>9</v>
      </c>
      <c r="S286" s="3">
        <v>39512</v>
      </c>
      <c r="T286" s="2">
        <f>IF(N286&gt;0,1,0)</f>
        <v>0</v>
      </c>
    </row>
    <row r="287" spans="1:20" x14ac:dyDescent="0.2">
      <c r="A287" s="6">
        <v>286</v>
      </c>
      <c r="B287" s="3">
        <v>39520</v>
      </c>
      <c r="C287" s="4">
        <v>0.10393937886284101</v>
      </c>
      <c r="D287" s="4" t="s">
        <v>0</v>
      </c>
      <c r="E287" s="4">
        <v>184</v>
      </c>
      <c r="F287" s="4">
        <v>0</v>
      </c>
      <c r="G287" s="4">
        <v>28.398958333333301</v>
      </c>
      <c r="H287" s="4">
        <v>0</v>
      </c>
      <c r="I287" s="4">
        <v>0</v>
      </c>
      <c r="J287" s="4">
        <v>3</v>
      </c>
      <c r="K287" s="4">
        <v>2008</v>
      </c>
      <c r="M287" s="5"/>
      <c r="O287" s="4">
        <v>0.01</v>
      </c>
      <c r="P287" s="4">
        <v>0.01</v>
      </c>
      <c r="Q287" s="4">
        <f>(P287-P286)/P286</f>
        <v>-0.40000000000000124</v>
      </c>
      <c r="R287" s="4">
        <v>10</v>
      </c>
      <c r="S287" s="3">
        <v>39520</v>
      </c>
      <c r="T287" s="2">
        <f>IF(N287&gt;0,1,0)</f>
        <v>0</v>
      </c>
    </row>
    <row r="288" spans="1:20" x14ac:dyDescent="0.2">
      <c r="A288" s="6">
        <v>287</v>
      </c>
      <c r="B288" s="3">
        <v>39528</v>
      </c>
      <c r="C288" s="4">
        <v>0.114892357248156</v>
      </c>
      <c r="D288" s="4">
        <v>0.119162814070781</v>
      </c>
      <c r="E288" s="4">
        <v>180</v>
      </c>
      <c r="F288" s="4">
        <v>0</v>
      </c>
      <c r="G288" s="4">
        <v>28.810390625</v>
      </c>
      <c r="H288" s="4">
        <v>0</v>
      </c>
      <c r="I288" s="4">
        <v>0</v>
      </c>
      <c r="J288" s="4">
        <v>3</v>
      </c>
      <c r="K288" s="4">
        <v>2008</v>
      </c>
      <c r="M288" s="5"/>
      <c r="O288" s="4">
        <v>0.01</v>
      </c>
      <c r="P288" s="4">
        <v>0.01</v>
      </c>
      <c r="Q288" s="4">
        <f>(P288-P287)/P287</f>
        <v>0</v>
      </c>
      <c r="R288" s="4">
        <v>11</v>
      </c>
      <c r="S288" s="3">
        <v>39528</v>
      </c>
      <c r="T288" s="2">
        <f>IF(N288&gt;0,1,0)</f>
        <v>0</v>
      </c>
    </row>
    <row r="289" spans="1:20" x14ac:dyDescent="0.2">
      <c r="A289" s="6">
        <v>288</v>
      </c>
      <c r="B289" s="3">
        <v>39536</v>
      </c>
      <c r="C289" s="4">
        <v>9.7944224925918699E-2</v>
      </c>
      <c r="D289" s="4">
        <v>8.8408211867014599E-2</v>
      </c>
      <c r="E289" s="4">
        <v>184</v>
      </c>
      <c r="F289" s="4">
        <v>0</v>
      </c>
      <c r="G289" s="4">
        <v>28.909401041666701</v>
      </c>
      <c r="H289" s="4">
        <v>0</v>
      </c>
      <c r="I289" s="4">
        <v>0</v>
      </c>
      <c r="J289" s="4">
        <v>3</v>
      </c>
      <c r="K289" s="4">
        <v>2008</v>
      </c>
      <c r="M289" s="5"/>
      <c r="O289" s="4">
        <v>0.01</v>
      </c>
      <c r="P289" s="4">
        <v>0.01</v>
      </c>
      <c r="Q289" s="4">
        <f>(P289-P288)/P288</f>
        <v>0</v>
      </c>
      <c r="R289" s="4">
        <v>12</v>
      </c>
      <c r="S289" s="3">
        <v>39536</v>
      </c>
      <c r="T289" s="2">
        <f>IF(N289&gt;0,1,0)</f>
        <v>0</v>
      </c>
    </row>
    <row r="290" spans="1:20" x14ac:dyDescent="0.2">
      <c r="A290" s="6">
        <v>289</v>
      </c>
      <c r="B290" s="3">
        <v>39544</v>
      </c>
      <c r="C290" s="4">
        <v>0.104355239930252</v>
      </c>
      <c r="D290" s="4">
        <v>8.6864616721868501E-2</v>
      </c>
      <c r="E290" s="4">
        <v>184</v>
      </c>
      <c r="F290" s="4">
        <v>0</v>
      </c>
      <c r="G290" s="4">
        <v>28.940494791666701</v>
      </c>
      <c r="H290" s="4">
        <v>0</v>
      </c>
      <c r="I290" s="4" t="s">
        <v>0</v>
      </c>
      <c r="J290" s="4">
        <v>4</v>
      </c>
      <c r="K290" s="4">
        <v>2008</v>
      </c>
      <c r="M290" s="5" t="s">
        <v>9</v>
      </c>
      <c r="O290" s="4">
        <v>0.01</v>
      </c>
      <c r="P290" s="4">
        <v>0.01</v>
      </c>
      <c r="Q290" s="4">
        <f>(P290-P289)/P289</f>
        <v>0</v>
      </c>
      <c r="R290" s="4">
        <v>13</v>
      </c>
      <c r="S290" s="3">
        <v>39544</v>
      </c>
      <c r="T290" s="2">
        <f>IF(N290&gt;0,1,0)</f>
        <v>0</v>
      </c>
    </row>
    <row r="291" spans="1:20" x14ac:dyDescent="0.2">
      <c r="A291" s="6">
        <v>290</v>
      </c>
      <c r="B291" s="3">
        <v>39552</v>
      </c>
      <c r="C291" s="4">
        <v>0.104143586837583</v>
      </c>
      <c r="D291" s="4">
        <v>8.2476306706666905E-2</v>
      </c>
      <c r="E291" s="4">
        <v>76.5</v>
      </c>
      <c r="F291" s="4">
        <v>0</v>
      </c>
      <c r="G291" s="4">
        <v>28.968359374999999</v>
      </c>
      <c r="H291" s="4" t="s">
        <v>0</v>
      </c>
      <c r="I291" s="4">
        <v>0</v>
      </c>
      <c r="J291" s="4">
        <v>4</v>
      </c>
      <c r="K291" s="4">
        <v>2008</v>
      </c>
      <c r="M291" s="5"/>
      <c r="O291" s="4">
        <v>0</v>
      </c>
      <c r="P291" s="4">
        <v>0</v>
      </c>
      <c r="Q291" s="4">
        <f>(P291-P290)/P290</f>
        <v>-1</v>
      </c>
      <c r="R291" s="4">
        <v>14</v>
      </c>
      <c r="S291" s="3">
        <v>39552</v>
      </c>
      <c r="T291" s="2">
        <f>IF(N291&gt;0,1,0)</f>
        <v>0</v>
      </c>
    </row>
    <row r="292" spans="1:20" x14ac:dyDescent="0.2">
      <c r="A292" s="6">
        <v>291</v>
      </c>
      <c r="B292" s="3">
        <v>39560</v>
      </c>
      <c r="C292" s="4">
        <v>0.12861906835395401</v>
      </c>
      <c r="D292" s="4">
        <v>0.12784554933508199</v>
      </c>
      <c r="E292" s="4">
        <v>116</v>
      </c>
      <c r="F292" s="4">
        <v>0</v>
      </c>
      <c r="G292" s="4">
        <v>28.865182291666699</v>
      </c>
      <c r="H292" s="4">
        <v>0</v>
      </c>
      <c r="I292" s="4">
        <v>7.0652173913043501E-2</v>
      </c>
      <c r="J292" s="4">
        <v>4</v>
      </c>
      <c r="K292" s="4">
        <v>2008</v>
      </c>
      <c r="M292" s="5"/>
      <c r="O292" s="4">
        <v>0.01</v>
      </c>
      <c r="P292" s="4">
        <v>0.01</v>
      </c>
      <c r="Q292" s="4" t="e">
        <f>(P292-P291)/P291</f>
        <v>#DIV/0!</v>
      </c>
      <c r="R292" s="4">
        <v>15</v>
      </c>
      <c r="S292" s="3">
        <v>39560</v>
      </c>
      <c r="T292" s="2">
        <f>IF(N292&gt;0,1,0)</f>
        <v>0</v>
      </c>
    </row>
    <row r="293" spans="1:20" x14ac:dyDescent="0.2">
      <c r="A293" s="6">
        <v>292</v>
      </c>
      <c r="B293" s="3">
        <v>39568</v>
      </c>
      <c r="C293" s="4">
        <v>0.124565877951682</v>
      </c>
      <c r="D293" s="4">
        <v>0.11108350008726101</v>
      </c>
      <c r="E293" s="4">
        <v>184</v>
      </c>
      <c r="F293" s="4">
        <v>13</v>
      </c>
      <c r="G293" s="4">
        <v>28.966406249999999</v>
      </c>
      <c r="H293" s="4">
        <v>7.0652173913043501E-2</v>
      </c>
      <c r="I293" s="4">
        <v>0</v>
      </c>
      <c r="J293" s="4">
        <v>4</v>
      </c>
      <c r="K293" s="4">
        <v>2008</v>
      </c>
      <c r="M293" s="5" t="s">
        <v>8</v>
      </c>
      <c r="O293" s="4">
        <v>7.0652173913043501E-2</v>
      </c>
      <c r="P293" s="4">
        <v>7.0652173913043501E-2</v>
      </c>
      <c r="Q293" s="4">
        <f>(P293-P292)/P292</f>
        <v>6.0652173913043494</v>
      </c>
      <c r="R293" s="4">
        <v>16</v>
      </c>
      <c r="S293" s="3">
        <v>39568</v>
      </c>
      <c r="T293" s="2">
        <f>IF(N293&gt;0,1,0)</f>
        <v>0</v>
      </c>
    </row>
    <row r="294" spans="1:20" x14ac:dyDescent="0.2">
      <c r="A294" s="6">
        <v>293</v>
      </c>
      <c r="B294" s="3">
        <v>39576</v>
      </c>
      <c r="C294" s="4">
        <v>0.15984558039862201</v>
      </c>
      <c r="D294" s="4">
        <v>0.144652515649796</v>
      </c>
      <c r="E294" s="4">
        <v>188</v>
      </c>
      <c r="F294" s="4">
        <v>0</v>
      </c>
      <c r="G294" s="4">
        <v>28.613671875000001</v>
      </c>
      <c r="H294" s="4">
        <v>0</v>
      </c>
      <c r="I294" s="4">
        <v>0</v>
      </c>
      <c r="J294" s="4">
        <v>5</v>
      </c>
      <c r="K294" s="4">
        <v>2008</v>
      </c>
      <c r="M294" s="5"/>
      <c r="O294" s="4">
        <v>0.01</v>
      </c>
      <c r="P294" s="4">
        <v>0.01</v>
      </c>
      <c r="Q294" s="4">
        <f>(P294-P293)/P293</f>
        <v>-0.8584615384615385</v>
      </c>
      <c r="R294" s="4">
        <v>17</v>
      </c>
      <c r="S294" s="3">
        <v>39576</v>
      </c>
      <c r="T294" s="2">
        <f>IF(N294&gt;0,1,0)</f>
        <v>0</v>
      </c>
    </row>
    <row r="295" spans="1:20" x14ac:dyDescent="0.2">
      <c r="A295" s="6">
        <v>294</v>
      </c>
      <c r="B295" s="3">
        <v>39584</v>
      </c>
      <c r="C295" s="4">
        <v>0.12474652214182699</v>
      </c>
      <c r="D295" s="4">
        <v>0.108446122457584</v>
      </c>
      <c r="E295" s="4">
        <v>192</v>
      </c>
      <c r="F295" s="4">
        <v>0</v>
      </c>
      <c r="G295" s="4">
        <v>28.542604166666699</v>
      </c>
      <c r="H295" s="4">
        <v>0</v>
      </c>
      <c r="I295" s="4">
        <v>5.4347826086956503E-3</v>
      </c>
      <c r="J295" s="4">
        <v>5</v>
      </c>
      <c r="K295" s="4">
        <v>2008</v>
      </c>
      <c r="M295" s="5"/>
      <c r="O295" s="4">
        <v>0.01</v>
      </c>
      <c r="P295" s="4">
        <v>0.01</v>
      </c>
      <c r="Q295" s="4">
        <f>(P295-P294)/P294</f>
        <v>0</v>
      </c>
      <c r="R295" s="4">
        <v>18</v>
      </c>
      <c r="S295" s="3">
        <v>39584</v>
      </c>
      <c r="T295" s="2">
        <f>IF(N295&gt;0,1,0)</f>
        <v>0</v>
      </c>
    </row>
    <row r="296" spans="1:20" x14ac:dyDescent="0.2">
      <c r="A296" s="6">
        <v>295</v>
      </c>
      <c r="B296" s="3">
        <v>39592</v>
      </c>
      <c r="C296" s="4">
        <v>0.11622388029678</v>
      </c>
      <c r="D296" s="4">
        <v>0.110981913904349</v>
      </c>
      <c r="E296" s="4">
        <v>184</v>
      </c>
      <c r="F296" s="4">
        <v>1</v>
      </c>
      <c r="G296" s="4">
        <v>28.416484375</v>
      </c>
      <c r="H296" s="4">
        <v>5.4347826086956503E-3</v>
      </c>
      <c r="I296" s="4">
        <v>0.17934782608695701</v>
      </c>
      <c r="J296" s="4">
        <v>5</v>
      </c>
      <c r="K296" s="4">
        <v>2008</v>
      </c>
      <c r="M296" s="5"/>
      <c r="O296" s="4">
        <v>5.4347826086956503E-3</v>
      </c>
      <c r="P296" s="4">
        <v>5.4347826086956503E-3</v>
      </c>
      <c r="Q296" s="4">
        <f>(P296-P295)/P295</f>
        <v>-0.45652173913043498</v>
      </c>
      <c r="R296" s="4">
        <v>19</v>
      </c>
      <c r="S296" s="3">
        <v>39592</v>
      </c>
      <c r="T296" s="2">
        <f>IF(N296&gt;0,1,0)</f>
        <v>0</v>
      </c>
    </row>
    <row r="297" spans="1:20" x14ac:dyDescent="0.2">
      <c r="A297" s="6">
        <v>296</v>
      </c>
      <c r="B297" s="3">
        <v>39600</v>
      </c>
      <c r="C297" s="4">
        <v>0.11659352559792401</v>
      </c>
      <c r="D297" s="4">
        <v>0.111283669248223</v>
      </c>
      <c r="E297" s="4">
        <v>184</v>
      </c>
      <c r="F297" s="4">
        <v>33</v>
      </c>
      <c r="G297" s="4">
        <v>28.525078125</v>
      </c>
      <c r="H297" s="4">
        <v>0.17934782608695701</v>
      </c>
      <c r="I297" s="4">
        <v>0</v>
      </c>
      <c r="J297" s="4">
        <v>6</v>
      </c>
      <c r="K297" s="4">
        <v>2008</v>
      </c>
      <c r="M297" s="5" t="s">
        <v>7</v>
      </c>
      <c r="O297" s="4">
        <v>0.17934782608695701</v>
      </c>
      <c r="P297" s="4">
        <v>0.17934782608695701</v>
      </c>
      <c r="Q297" s="4">
        <f>(P297-P296)/P296</f>
        <v>32.000000000000099</v>
      </c>
      <c r="R297" s="4">
        <v>20</v>
      </c>
      <c r="S297" s="3">
        <v>39600</v>
      </c>
      <c r="T297" s="2">
        <f>IF(N297&gt;0,1,0)</f>
        <v>0</v>
      </c>
    </row>
    <row r="298" spans="1:20" x14ac:dyDescent="0.2">
      <c r="A298" s="6">
        <v>297</v>
      </c>
      <c r="B298" s="3">
        <v>39608</v>
      </c>
      <c r="C298" s="4">
        <v>0.121204116043791</v>
      </c>
      <c r="D298" s="4">
        <v>0.117934895058473</v>
      </c>
      <c r="E298" s="4">
        <v>184</v>
      </c>
      <c r="F298" s="4">
        <v>0</v>
      </c>
      <c r="G298" s="4">
        <v>28.405677083333298</v>
      </c>
      <c r="H298" s="4">
        <v>0</v>
      </c>
      <c r="I298" s="4">
        <v>0</v>
      </c>
      <c r="J298" s="4">
        <v>6</v>
      </c>
      <c r="K298" s="4">
        <v>2008</v>
      </c>
      <c r="M298" s="5"/>
      <c r="O298" s="4">
        <v>0.01</v>
      </c>
      <c r="P298" s="4">
        <v>0.01</v>
      </c>
      <c r="Q298" s="4">
        <f>(P298-P297)/P297</f>
        <v>-0.94424242424242433</v>
      </c>
      <c r="R298" s="4">
        <v>21</v>
      </c>
      <c r="S298" s="3">
        <v>39608</v>
      </c>
      <c r="T298" s="2">
        <f>IF(N298&gt;0,1,0)</f>
        <v>0</v>
      </c>
    </row>
    <row r="299" spans="1:20" x14ac:dyDescent="0.2">
      <c r="A299" s="6">
        <v>298</v>
      </c>
      <c r="B299" s="3">
        <v>39616</v>
      </c>
      <c r="C299" s="4">
        <v>0.121613701339811</v>
      </c>
      <c r="D299" s="4">
        <v>0.115186057984829</v>
      </c>
      <c r="E299" s="4">
        <v>176</v>
      </c>
      <c r="F299" s="4">
        <v>0</v>
      </c>
      <c r="G299" s="4">
        <v>28.359322916666699</v>
      </c>
      <c r="H299" s="4">
        <v>0</v>
      </c>
      <c r="I299" s="4">
        <v>0</v>
      </c>
      <c r="J299" s="4">
        <v>6</v>
      </c>
      <c r="K299" s="4">
        <v>2008</v>
      </c>
      <c r="M299" s="5"/>
      <c r="O299" s="4">
        <v>0.01</v>
      </c>
      <c r="P299" s="4">
        <v>0.01</v>
      </c>
      <c r="Q299" s="4">
        <f>(P299-P298)/P298</f>
        <v>0</v>
      </c>
      <c r="R299" s="4">
        <v>22</v>
      </c>
      <c r="S299" s="3">
        <v>39616</v>
      </c>
      <c r="T299" s="2">
        <f>IF(N299&gt;0,1,0)</f>
        <v>0</v>
      </c>
    </row>
    <row r="300" spans="1:20" x14ac:dyDescent="0.2">
      <c r="A300" s="6">
        <v>299</v>
      </c>
      <c r="B300" s="3">
        <v>39624</v>
      </c>
      <c r="C300" s="4">
        <v>0.136789965132872</v>
      </c>
      <c r="D300" s="4" t="s">
        <v>0</v>
      </c>
      <c r="E300" s="4">
        <v>162.5</v>
      </c>
      <c r="F300" s="4">
        <v>0</v>
      </c>
      <c r="G300" s="4">
        <v>28.502109375</v>
      </c>
      <c r="H300" s="4">
        <v>0</v>
      </c>
      <c r="I300" s="4">
        <v>0.30555555555555602</v>
      </c>
      <c r="J300" s="4">
        <v>6</v>
      </c>
      <c r="K300" s="4">
        <v>2008</v>
      </c>
      <c r="M300" s="5"/>
      <c r="O300" s="4">
        <v>0.01</v>
      </c>
      <c r="P300" s="4">
        <v>0.01</v>
      </c>
      <c r="Q300" s="4">
        <f>(P300-P299)/P299</f>
        <v>0</v>
      </c>
      <c r="R300" s="4">
        <v>23</v>
      </c>
      <c r="S300" s="3">
        <v>39624</v>
      </c>
      <c r="T300" s="2">
        <f>IF(N300&gt;0,1,0)</f>
        <v>0</v>
      </c>
    </row>
    <row r="301" spans="1:20" x14ac:dyDescent="0.2">
      <c r="A301" s="6">
        <v>300</v>
      </c>
      <c r="B301" s="3">
        <v>39632</v>
      </c>
      <c r="C301" s="4">
        <v>8.9955877050880595E-2</v>
      </c>
      <c r="D301" s="4">
        <v>7.9447076966365202E-2</v>
      </c>
      <c r="E301" s="4">
        <v>180</v>
      </c>
      <c r="F301" s="4">
        <v>55</v>
      </c>
      <c r="G301" s="4">
        <v>28.401614583333298</v>
      </c>
      <c r="H301" s="4">
        <v>0.30555555555555602</v>
      </c>
      <c r="I301" s="4">
        <v>0.28333333333333299</v>
      </c>
      <c r="J301" s="4">
        <v>7</v>
      </c>
      <c r="K301" s="4">
        <v>2008</v>
      </c>
      <c r="M301" s="5" t="s">
        <v>6</v>
      </c>
      <c r="O301" s="4">
        <v>0.30555555555555602</v>
      </c>
      <c r="P301" s="4">
        <v>0.30555555555555602</v>
      </c>
      <c r="Q301" s="4">
        <f>(P301-P300)/P300</f>
        <v>29.5555555555556</v>
      </c>
      <c r="R301" s="4">
        <v>24</v>
      </c>
      <c r="S301" s="3">
        <v>39632</v>
      </c>
      <c r="T301" s="2">
        <f>IF(N301&gt;0,1,0)</f>
        <v>0</v>
      </c>
    </row>
    <row r="302" spans="1:20" x14ac:dyDescent="0.2">
      <c r="A302" s="6">
        <v>301</v>
      </c>
      <c r="B302" s="3">
        <v>39640</v>
      </c>
      <c r="C302" s="4">
        <v>8.5813243687152901E-2</v>
      </c>
      <c r="D302" s="4">
        <v>7.8080867230892206E-2</v>
      </c>
      <c r="E302" s="4">
        <v>180</v>
      </c>
      <c r="F302" s="4">
        <v>51</v>
      </c>
      <c r="G302" s="4">
        <v>28.500416666666698</v>
      </c>
      <c r="H302" s="4">
        <v>0.28333333333333299</v>
      </c>
      <c r="I302" s="4">
        <v>0</v>
      </c>
      <c r="J302" s="4">
        <v>7</v>
      </c>
      <c r="K302" s="4">
        <v>2008</v>
      </c>
      <c r="M302" s="5"/>
      <c r="O302" s="4">
        <v>0.28333333333333299</v>
      </c>
      <c r="P302" s="4">
        <v>0.28333333333333299</v>
      </c>
      <c r="Q302" s="4">
        <f>(P302-P301)/P301</f>
        <v>-7.2727272727275263E-2</v>
      </c>
      <c r="R302" s="4">
        <v>25</v>
      </c>
      <c r="S302" s="3">
        <v>39640</v>
      </c>
      <c r="T302" s="2">
        <f>IF(N302&gt;0,1,0)</f>
        <v>0</v>
      </c>
    </row>
    <row r="303" spans="1:20" x14ac:dyDescent="0.2">
      <c r="A303" s="6">
        <v>302</v>
      </c>
      <c r="B303" s="3">
        <v>39648</v>
      </c>
      <c r="C303" s="4">
        <v>8.6312444923922094E-2</v>
      </c>
      <c r="D303" s="4">
        <v>6.8909056484699194E-2</v>
      </c>
      <c r="E303" s="4">
        <v>147.9</v>
      </c>
      <c r="F303" s="4">
        <v>0</v>
      </c>
      <c r="G303" s="4">
        <v>28.511822916666699</v>
      </c>
      <c r="H303" s="4">
        <v>0</v>
      </c>
      <c r="I303" s="4">
        <v>0.57978723404255295</v>
      </c>
      <c r="J303" s="4">
        <v>7</v>
      </c>
      <c r="K303" s="4">
        <v>2008</v>
      </c>
      <c r="M303" s="5"/>
      <c r="O303" s="4">
        <v>0.01</v>
      </c>
      <c r="P303" s="4">
        <v>0.01</v>
      </c>
      <c r="Q303" s="4">
        <f>(P303-P302)/P302</f>
        <v>-0.96470588235294108</v>
      </c>
      <c r="R303" s="4">
        <v>26</v>
      </c>
      <c r="S303" s="3">
        <v>39648</v>
      </c>
      <c r="T303" s="2">
        <f>IF(N303&gt;0,1,0)</f>
        <v>0</v>
      </c>
    </row>
    <row r="304" spans="1:20" x14ac:dyDescent="0.2">
      <c r="A304" s="6">
        <v>303</v>
      </c>
      <c r="B304" s="3">
        <v>39656</v>
      </c>
      <c r="C304" s="4">
        <v>0.12797440802273499</v>
      </c>
      <c r="D304" s="4">
        <v>0.122528261194626</v>
      </c>
      <c r="E304" s="4">
        <v>188</v>
      </c>
      <c r="F304" s="4">
        <v>109</v>
      </c>
      <c r="G304" s="4">
        <v>27.935781250000002</v>
      </c>
      <c r="H304" s="4">
        <v>0.57978723404255295</v>
      </c>
      <c r="I304" s="4">
        <v>0.56111111111111101</v>
      </c>
      <c r="J304" s="4">
        <v>7</v>
      </c>
      <c r="K304" s="4">
        <v>2008</v>
      </c>
      <c r="M304" s="5"/>
      <c r="O304" s="4">
        <v>0.57978723404255295</v>
      </c>
      <c r="P304" s="4">
        <v>0.57978723404255295</v>
      </c>
      <c r="Q304" s="4">
        <f>(P304-P303)/P303</f>
        <v>56.978723404255291</v>
      </c>
      <c r="R304" s="4">
        <v>27</v>
      </c>
      <c r="S304" s="3">
        <v>39656</v>
      </c>
      <c r="T304" s="2">
        <f>IF(N304&gt;0,1,0)</f>
        <v>0</v>
      </c>
    </row>
    <row r="305" spans="1:20" x14ac:dyDescent="0.2">
      <c r="A305" s="6">
        <v>304</v>
      </c>
      <c r="B305" s="3">
        <v>39664</v>
      </c>
      <c r="C305" s="4">
        <v>0.13754209699955899</v>
      </c>
      <c r="D305" s="4">
        <v>0.18262159327666</v>
      </c>
      <c r="E305" s="4">
        <v>180</v>
      </c>
      <c r="F305" s="4">
        <v>101</v>
      </c>
      <c r="G305" s="4">
        <v>27.8727083333333</v>
      </c>
      <c r="H305" s="4">
        <v>0.56111111111111101</v>
      </c>
      <c r="I305" s="4">
        <v>0.116666666666667</v>
      </c>
      <c r="J305" s="4">
        <v>8</v>
      </c>
      <c r="K305" s="4">
        <v>2008</v>
      </c>
      <c r="M305" s="5" t="s">
        <v>5</v>
      </c>
      <c r="O305" s="4">
        <v>0.56111111111111101</v>
      </c>
      <c r="P305" s="4">
        <v>0.56111111111111101</v>
      </c>
      <c r="Q305" s="4">
        <f>(P305-P304)/P304</f>
        <v>-3.2212028542303546E-2</v>
      </c>
      <c r="R305" s="4">
        <v>28</v>
      </c>
      <c r="S305" s="3">
        <v>39664</v>
      </c>
      <c r="T305" s="2">
        <f>IF(N305&gt;0,1,0)</f>
        <v>0</v>
      </c>
    </row>
    <row r="306" spans="1:20" x14ac:dyDescent="0.2">
      <c r="A306" s="6">
        <v>305</v>
      </c>
      <c r="B306" s="3">
        <v>39672</v>
      </c>
      <c r="C306" s="4">
        <v>0.119614787037588</v>
      </c>
      <c r="D306" s="4">
        <v>0.114445433020592</v>
      </c>
      <c r="E306" s="4">
        <v>180</v>
      </c>
      <c r="F306" s="4">
        <v>21</v>
      </c>
      <c r="G306" s="4">
        <v>28.0780989583333</v>
      </c>
      <c r="H306" s="4">
        <v>0.116666666666667</v>
      </c>
      <c r="I306" s="4">
        <v>0.57222222222222197</v>
      </c>
      <c r="J306" s="4">
        <v>8</v>
      </c>
      <c r="K306" s="4">
        <v>2008</v>
      </c>
      <c r="M306" s="5"/>
      <c r="O306" s="4">
        <v>0.116666666666667</v>
      </c>
      <c r="P306" s="4">
        <v>0.116666666666667</v>
      </c>
      <c r="Q306" s="4">
        <f>(P306-P305)/P305</f>
        <v>-0.79207920792079134</v>
      </c>
      <c r="R306" s="4">
        <v>29</v>
      </c>
      <c r="S306" s="3">
        <v>39672</v>
      </c>
      <c r="T306" s="2">
        <f>IF(N306&gt;0,1,0)</f>
        <v>0</v>
      </c>
    </row>
    <row r="307" spans="1:20" x14ac:dyDescent="0.2">
      <c r="A307" s="6">
        <v>306</v>
      </c>
      <c r="B307" s="3">
        <v>39680</v>
      </c>
      <c r="C307" s="4">
        <v>0.13181333409415399</v>
      </c>
      <c r="D307" s="4">
        <v>0.14307764669259401</v>
      </c>
      <c r="E307" s="4">
        <v>180</v>
      </c>
      <c r="F307" s="4">
        <v>103</v>
      </c>
      <c r="G307" s="4">
        <v>27.993776041666699</v>
      </c>
      <c r="H307" s="4">
        <v>0.57222222222222197</v>
      </c>
      <c r="I307" s="4">
        <v>0.17025440313111501</v>
      </c>
      <c r="J307" s="4">
        <v>8</v>
      </c>
      <c r="K307" s="4">
        <v>2008</v>
      </c>
      <c r="M307" s="5"/>
      <c r="O307" s="4">
        <v>0.57222222222222197</v>
      </c>
      <c r="P307" s="4">
        <v>0.57222222222222197</v>
      </c>
      <c r="Q307" s="4">
        <f>(P307-P306)/P306</f>
        <v>3.9047619047618882</v>
      </c>
      <c r="R307" s="4">
        <v>30</v>
      </c>
      <c r="S307" s="3">
        <v>39680</v>
      </c>
      <c r="T307" s="2">
        <f>IF(N307&gt;0,1,0)</f>
        <v>0</v>
      </c>
    </row>
    <row r="308" spans="1:20" x14ac:dyDescent="0.2">
      <c r="A308" s="6">
        <v>307</v>
      </c>
      <c r="B308" s="3">
        <v>39688</v>
      </c>
      <c r="C308" s="4">
        <v>0.130478675205876</v>
      </c>
      <c r="D308" s="4">
        <v>0.101797478894393</v>
      </c>
      <c r="E308" s="4">
        <v>153.30000000000001</v>
      </c>
      <c r="F308" s="4">
        <v>26.1</v>
      </c>
      <c r="G308" s="4">
        <v>27.957239583333301</v>
      </c>
      <c r="H308" s="4">
        <v>0.17025440313111501</v>
      </c>
      <c r="I308" s="4">
        <v>5.9782608695652197E-2</v>
      </c>
      <c r="J308" s="4">
        <v>8</v>
      </c>
      <c r="K308" s="4">
        <v>2008</v>
      </c>
      <c r="M308" s="5"/>
      <c r="O308" s="4">
        <v>0.17025440313111501</v>
      </c>
      <c r="P308" s="4">
        <v>0.17025440313111501</v>
      </c>
      <c r="Q308" s="4">
        <f>(P308-P307)/P307</f>
        <v>-0.70246803336309982</v>
      </c>
      <c r="R308" s="4">
        <v>31</v>
      </c>
      <c r="S308" s="3">
        <v>39688</v>
      </c>
      <c r="T308" s="2">
        <f>IF(N308&gt;0,1,0)</f>
        <v>0</v>
      </c>
    </row>
    <row r="309" spans="1:20" x14ac:dyDescent="0.2">
      <c r="A309" s="6">
        <v>308</v>
      </c>
      <c r="B309" s="3">
        <v>39696</v>
      </c>
      <c r="C309" s="4">
        <v>0.165345351315207</v>
      </c>
      <c r="D309" s="4">
        <v>0.15073277056217199</v>
      </c>
      <c r="E309" s="4">
        <v>184</v>
      </c>
      <c r="F309" s="4">
        <v>11</v>
      </c>
      <c r="G309" s="4">
        <v>28.149218749999999</v>
      </c>
      <c r="H309" s="4">
        <v>5.9782608695652197E-2</v>
      </c>
      <c r="I309" s="4">
        <v>0</v>
      </c>
      <c r="J309" s="4">
        <v>9</v>
      </c>
      <c r="K309" s="4">
        <v>2008</v>
      </c>
      <c r="M309" s="5" t="s">
        <v>4</v>
      </c>
      <c r="O309" s="4">
        <v>5.9782608695652197E-2</v>
      </c>
      <c r="P309" s="4">
        <v>5.9782608695652197E-2</v>
      </c>
      <c r="Q309" s="4">
        <f>(P309-P308)/P308</f>
        <v>-0.64886306846576614</v>
      </c>
      <c r="R309" s="4">
        <v>32</v>
      </c>
      <c r="S309" s="3">
        <v>39696</v>
      </c>
      <c r="T309" s="2">
        <f>IF(N309&gt;0,1,0)</f>
        <v>0</v>
      </c>
    </row>
    <row r="310" spans="1:20" x14ac:dyDescent="0.2">
      <c r="A310" s="6">
        <v>309</v>
      </c>
      <c r="B310" s="3">
        <v>39704</v>
      </c>
      <c r="C310" s="4">
        <v>0.11251011625346199</v>
      </c>
      <c r="D310" s="4">
        <v>0.10223434989650999</v>
      </c>
      <c r="E310" s="4">
        <v>192</v>
      </c>
      <c r="F310" s="4">
        <v>0</v>
      </c>
      <c r="G310" s="4">
        <v>28.352109375000001</v>
      </c>
      <c r="H310" s="4">
        <v>0</v>
      </c>
      <c r="I310" s="4">
        <v>0</v>
      </c>
      <c r="J310" s="4">
        <v>9</v>
      </c>
      <c r="K310" s="4">
        <v>2008</v>
      </c>
      <c r="M310" s="5"/>
      <c r="O310" s="4">
        <v>0.01</v>
      </c>
      <c r="P310" s="4">
        <v>0.01</v>
      </c>
      <c r="Q310" s="4">
        <f>(P310-P309)/P309</f>
        <v>-0.83272727272727276</v>
      </c>
      <c r="R310" s="4">
        <v>33</v>
      </c>
      <c r="S310" s="3">
        <v>39704</v>
      </c>
      <c r="T310" s="2">
        <f>IF(N310&gt;0,1,0)</f>
        <v>0</v>
      </c>
    </row>
    <row r="311" spans="1:20" x14ac:dyDescent="0.2">
      <c r="A311" s="6">
        <v>310</v>
      </c>
      <c r="B311" s="3">
        <v>39712</v>
      </c>
      <c r="C311" s="4">
        <v>0.11072504620498699</v>
      </c>
      <c r="D311" s="4">
        <v>8.7414453426996899E-2</v>
      </c>
      <c r="E311" s="4">
        <v>180</v>
      </c>
      <c r="F311" s="4">
        <v>0</v>
      </c>
      <c r="G311" s="4">
        <v>28.1938541666667</v>
      </c>
      <c r="H311" s="4">
        <v>0</v>
      </c>
      <c r="I311" s="4">
        <v>0.14673913043478301</v>
      </c>
      <c r="J311" s="4">
        <v>9</v>
      </c>
      <c r="K311" s="4">
        <v>2008</v>
      </c>
      <c r="M311" s="5"/>
      <c r="O311" s="4">
        <v>0.01</v>
      </c>
      <c r="P311" s="4">
        <v>0.01</v>
      </c>
      <c r="Q311" s="4">
        <f>(P311-P310)/P310</f>
        <v>0</v>
      </c>
      <c r="R311" s="4">
        <v>34</v>
      </c>
      <c r="S311" s="3">
        <v>39712</v>
      </c>
      <c r="T311" s="2">
        <f>IF(N311&gt;0,1,0)</f>
        <v>0</v>
      </c>
    </row>
    <row r="312" spans="1:20" x14ac:dyDescent="0.2">
      <c r="A312" s="6">
        <v>311</v>
      </c>
      <c r="B312" s="3">
        <v>39720</v>
      </c>
      <c r="C312" s="4" t="s">
        <v>0</v>
      </c>
      <c r="D312" s="4" t="s">
        <v>0</v>
      </c>
      <c r="E312" s="4">
        <v>184</v>
      </c>
      <c r="F312" s="4">
        <v>27</v>
      </c>
      <c r="G312" s="4">
        <v>28.1674739583333</v>
      </c>
      <c r="H312" s="4">
        <v>0.14673913043478301</v>
      </c>
      <c r="I312" s="4">
        <v>0.23888888888888901</v>
      </c>
      <c r="J312" s="4">
        <v>9</v>
      </c>
      <c r="K312" s="4">
        <v>2008</v>
      </c>
      <c r="M312" s="5"/>
      <c r="O312" s="4">
        <v>0.14673913043478301</v>
      </c>
      <c r="P312" s="4">
        <v>0.14673913043478301</v>
      </c>
      <c r="Q312" s="4">
        <f>(P312-P311)/P311</f>
        <v>13.673913043478301</v>
      </c>
      <c r="R312" s="4">
        <v>35</v>
      </c>
      <c r="S312" s="3">
        <v>39720</v>
      </c>
      <c r="T312" s="2">
        <f>IF(N312&gt;0,1,0)</f>
        <v>0</v>
      </c>
    </row>
    <row r="313" spans="1:20" x14ac:dyDescent="0.2">
      <c r="A313" s="6">
        <v>312</v>
      </c>
      <c r="B313" s="3">
        <v>39728</v>
      </c>
      <c r="C313" s="4">
        <v>9.7153013572096797E-2</v>
      </c>
      <c r="D313" s="4">
        <v>7.3832112054030105E-2</v>
      </c>
      <c r="E313" s="4">
        <v>180</v>
      </c>
      <c r="F313" s="4">
        <v>43</v>
      </c>
      <c r="G313" s="4">
        <v>27.9969010416667</v>
      </c>
      <c r="H313" s="4">
        <v>0.23888888888888901</v>
      </c>
      <c r="I313" s="4">
        <v>1.5957446808510599E-2</v>
      </c>
      <c r="J313" s="4">
        <v>10</v>
      </c>
      <c r="K313" s="4">
        <v>2008</v>
      </c>
      <c r="M313" s="5" t="s">
        <v>3</v>
      </c>
      <c r="O313" s="4">
        <v>0.23888888888888901</v>
      </c>
      <c r="P313" s="4">
        <v>0.23888888888888901</v>
      </c>
      <c r="Q313" s="4">
        <f>(P313-P312)/P312</f>
        <v>0.62798353909464655</v>
      </c>
      <c r="R313" s="4">
        <v>36</v>
      </c>
      <c r="S313" s="3">
        <v>39728</v>
      </c>
      <c r="T313" s="2">
        <f>IF(N313&gt;0,1,0)</f>
        <v>0</v>
      </c>
    </row>
    <row r="314" spans="1:20" x14ac:dyDescent="0.2">
      <c r="A314" s="6">
        <v>313</v>
      </c>
      <c r="B314" s="3">
        <v>39736</v>
      </c>
      <c r="C314" s="4">
        <v>0.218960254039201</v>
      </c>
      <c r="D314" s="4">
        <v>0.21096373597780901</v>
      </c>
      <c r="E314" s="4">
        <v>188</v>
      </c>
      <c r="F314" s="4">
        <v>3</v>
      </c>
      <c r="G314" s="4">
        <v>27.473749999999999</v>
      </c>
      <c r="H314" s="4">
        <v>1.5957446808510599E-2</v>
      </c>
      <c r="I314" s="4">
        <v>0</v>
      </c>
      <c r="J314" s="4">
        <v>10</v>
      </c>
      <c r="K314" s="4">
        <v>2008</v>
      </c>
      <c r="M314" s="5"/>
      <c r="O314" s="4">
        <v>1.5957446808510599E-2</v>
      </c>
      <c r="P314" s="4">
        <v>1.5957446808510599E-2</v>
      </c>
      <c r="Q314" s="4">
        <f>(P314-P313)/P313</f>
        <v>-0.93320138545274633</v>
      </c>
      <c r="R314" s="4">
        <v>37</v>
      </c>
      <c r="S314" s="3">
        <v>39736</v>
      </c>
      <c r="T314" s="2">
        <f>IF(N314&gt;0,1,0)</f>
        <v>0</v>
      </c>
    </row>
    <row r="315" spans="1:20" x14ac:dyDescent="0.2">
      <c r="A315" s="6">
        <v>314</v>
      </c>
      <c r="B315" s="3">
        <v>39744</v>
      </c>
      <c r="C315" s="4">
        <v>0.227755384347963</v>
      </c>
      <c r="D315" s="4">
        <v>0.21488310992717699</v>
      </c>
      <c r="E315" s="4">
        <v>156</v>
      </c>
      <c r="F315" s="4">
        <v>0</v>
      </c>
      <c r="G315" s="4">
        <v>27.9820833333333</v>
      </c>
      <c r="H315" s="4">
        <v>0</v>
      </c>
      <c r="I315" s="4">
        <v>2.1739130434782601E-2</v>
      </c>
      <c r="J315" s="4">
        <v>10</v>
      </c>
      <c r="K315" s="4">
        <v>2008</v>
      </c>
      <c r="M315" s="5"/>
      <c r="O315" s="4">
        <v>0.01</v>
      </c>
      <c r="P315" s="4">
        <v>0.01</v>
      </c>
      <c r="Q315" s="4">
        <f>(P315-P314)/P314</f>
        <v>-0.3733333333333318</v>
      </c>
      <c r="R315" s="4">
        <v>38</v>
      </c>
      <c r="S315" s="3">
        <v>39744</v>
      </c>
      <c r="T315" s="2">
        <f>IF(N315&gt;0,1,0)</f>
        <v>0</v>
      </c>
    </row>
    <row r="316" spans="1:20" x14ac:dyDescent="0.2">
      <c r="A316" s="6">
        <v>315</v>
      </c>
      <c r="B316" s="3">
        <v>39752</v>
      </c>
      <c r="C316" s="4">
        <v>0.231775581940181</v>
      </c>
      <c r="D316" s="4">
        <v>0.25891624142726299</v>
      </c>
      <c r="E316" s="4">
        <v>184</v>
      </c>
      <c r="F316" s="4">
        <v>4</v>
      </c>
      <c r="G316" s="4">
        <v>28.3220833333333</v>
      </c>
      <c r="H316" s="4">
        <v>2.1739130434782601E-2</v>
      </c>
      <c r="I316" s="4">
        <v>0.204545454545455</v>
      </c>
      <c r="J316" s="4">
        <v>10</v>
      </c>
      <c r="K316" s="4">
        <v>2008</v>
      </c>
      <c r="M316" s="5" t="s">
        <v>2</v>
      </c>
      <c r="O316" s="4">
        <v>2.1739130434782601E-2</v>
      </c>
      <c r="P316" s="4">
        <v>2.1739130434782601E-2</v>
      </c>
      <c r="Q316" s="4">
        <f>(P316-P315)/P315</f>
        <v>1.1739130434782601</v>
      </c>
      <c r="R316" s="4">
        <v>39</v>
      </c>
      <c r="S316" s="3">
        <v>39752</v>
      </c>
      <c r="T316" s="2">
        <f>IF(N316&gt;0,1,0)</f>
        <v>0</v>
      </c>
    </row>
    <row r="317" spans="1:20" x14ac:dyDescent="0.2">
      <c r="A317" s="6">
        <v>316</v>
      </c>
      <c r="B317" s="3">
        <v>39760</v>
      </c>
      <c r="C317" s="4">
        <v>0.204704033476966</v>
      </c>
      <c r="D317" s="4">
        <v>0.19612853477398601</v>
      </c>
      <c r="E317" s="4">
        <v>176</v>
      </c>
      <c r="F317" s="4">
        <v>36</v>
      </c>
      <c r="G317" s="4">
        <v>28.452760416666699</v>
      </c>
      <c r="H317" s="4">
        <v>0.204545454545455</v>
      </c>
      <c r="I317" s="4">
        <v>0.05</v>
      </c>
      <c r="J317" s="4">
        <v>11</v>
      </c>
      <c r="K317" s="4">
        <v>2008</v>
      </c>
      <c r="M317" s="5"/>
      <c r="O317" s="4">
        <v>0.204545454545455</v>
      </c>
      <c r="P317" s="4">
        <v>0.204545454545455</v>
      </c>
      <c r="Q317" s="4">
        <f>(P317-P316)/P316</f>
        <v>8.4090909090909332</v>
      </c>
      <c r="R317" s="4">
        <v>40</v>
      </c>
      <c r="S317" s="3">
        <v>39760</v>
      </c>
      <c r="T317" s="2">
        <f>IF(N317&gt;0,1,0)</f>
        <v>0</v>
      </c>
    </row>
    <row r="318" spans="1:20" x14ac:dyDescent="0.2">
      <c r="A318" s="6">
        <v>317</v>
      </c>
      <c r="B318" s="3">
        <v>39768</v>
      </c>
      <c r="C318" s="4" t="s">
        <v>0</v>
      </c>
      <c r="D318" s="4" t="s">
        <v>0</v>
      </c>
      <c r="E318" s="4">
        <v>180</v>
      </c>
      <c r="F318" s="4">
        <v>9</v>
      </c>
      <c r="G318" s="4">
        <v>28.0434635416667</v>
      </c>
      <c r="H318" s="4">
        <v>0.05</v>
      </c>
      <c r="I318" s="4">
        <v>2.2222222222222199E-2</v>
      </c>
      <c r="J318" s="4">
        <v>11</v>
      </c>
      <c r="K318" s="4">
        <v>2008</v>
      </c>
      <c r="M318" s="5"/>
      <c r="O318" s="4">
        <v>0.05</v>
      </c>
      <c r="P318" s="4">
        <v>0.05</v>
      </c>
      <c r="Q318" s="4">
        <f>(P318-P317)/P317</f>
        <v>-0.75555555555555598</v>
      </c>
      <c r="R318" s="4">
        <v>41</v>
      </c>
      <c r="S318" s="3">
        <v>39768</v>
      </c>
      <c r="T318" s="2">
        <f>IF(N318&gt;0,1,0)</f>
        <v>0</v>
      </c>
    </row>
    <row r="319" spans="1:20" x14ac:dyDescent="0.2">
      <c r="A319" s="6">
        <v>318</v>
      </c>
      <c r="B319" s="3">
        <v>39776</v>
      </c>
      <c r="C319" s="4">
        <v>0.20493363582680399</v>
      </c>
      <c r="D319" s="4">
        <v>0.19059345622857399</v>
      </c>
      <c r="E319" s="4">
        <v>180</v>
      </c>
      <c r="F319" s="4">
        <v>4</v>
      </c>
      <c r="G319" s="4">
        <v>27.783151041666699</v>
      </c>
      <c r="H319" s="4">
        <v>2.2222222222222199E-2</v>
      </c>
      <c r="I319" s="4">
        <v>2.1739130434782601E-2</v>
      </c>
      <c r="J319" s="4">
        <v>11</v>
      </c>
      <c r="K319" s="4">
        <v>2008</v>
      </c>
      <c r="M319" s="5"/>
      <c r="O319" s="4">
        <v>2.2222222222222199E-2</v>
      </c>
      <c r="P319" s="4">
        <v>2.2222222222222199E-2</v>
      </c>
      <c r="Q319" s="4">
        <f>(P319-P318)/P318</f>
        <v>-0.55555555555555602</v>
      </c>
      <c r="R319" s="4">
        <v>42</v>
      </c>
      <c r="S319" s="3">
        <v>39776</v>
      </c>
      <c r="T319" s="2">
        <f>IF(N319&gt;0,1,0)</f>
        <v>0</v>
      </c>
    </row>
    <row r="320" spans="1:20" x14ac:dyDescent="0.2">
      <c r="A320" s="6">
        <v>319</v>
      </c>
      <c r="B320" s="3">
        <v>39784</v>
      </c>
      <c r="C320" s="4">
        <v>0.18588117199639501</v>
      </c>
      <c r="D320" s="4">
        <v>0.17974098523457799</v>
      </c>
      <c r="E320" s="4">
        <v>184</v>
      </c>
      <c r="F320" s="4">
        <v>4</v>
      </c>
      <c r="G320" s="4">
        <v>28.1791927083333</v>
      </c>
      <c r="H320" s="4">
        <v>2.1739130434782601E-2</v>
      </c>
      <c r="I320" s="4">
        <v>0.25</v>
      </c>
      <c r="J320" s="4">
        <v>12</v>
      </c>
      <c r="K320" s="4">
        <v>2008</v>
      </c>
      <c r="M320" s="5" t="s">
        <v>1</v>
      </c>
      <c r="O320" s="4">
        <v>2.1739130434782601E-2</v>
      </c>
      <c r="P320" s="4">
        <v>2.1739130434782601E-2</v>
      </c>
      <c r="Q320" s="4">
        <f>(P320-P319)/P319</f>
        <v>-2.1739130434781918E-2</v>
      </c>
      <c r="R320" s="4">
        <v>43</v>
      </c>
      <c r="S320" s="3">
        <v>39784</v>
      </c>
      <c r="T320" s="2">
        <f>IF(N320&gt;0,1,0)</f>
        <v>0</v>
      </c>
    </row>
    <row r="321" spans="1:20" x14ac:dyDescent="0.2">
      <c r="A321" s="6">
        <v>320</v>
      </c>
      <c r="B321" s="3">
        <v>39792</v>
      </c>
      <c r="C321" s="4">
        <v>0.20135254982031101</v>
      </c>
      <c r="D321" s="4">
        <v>0.16881452252467499</v>
      </c>
      <c r="E321" s="4">
        <v>176</v>
      </c>
      <c r="F321" s="4">
        <v>44</v>
      </c>
      <c r="G321" s="4">
        <v>28.407656249999999</v>
      </c>
      <c r="H321" s="4">
        <v>0.25</v>
      </c>
      <c r="I321" s="4">
        <v>0</v>
      </c>
      <c r="J321" s="4">
        <v>12</v>
      </c>
      <c r="K321" s="4">
        <v>2008</v>
      </c>
      <c r="M321" s="5"/>
      <c r="O321" s="4">
        <v>0.25</v>
      </c>
      <c r="P321" s="4">
        <v>0.25</v>
      </c>
      <c r="Q321" s="4">
        <f>(P321-P320)/P320</f>
        <v>10.500000000000004</v>
      </c>
      <c r="R321" s="4">
        <v>44</v>
      </c>
      <c r="S321" s="3">
        <v>39792</v>
      </c>
      <c r="T321" s="2">
        <f>IF(N321&gt;0,1,0)</f>
        <v>0</v>
      </c>
    </row>
    <row r="322" spans="1:20" x14ac:dyDescent="0.2">
      <c r="A322" s="6">
        <v>321</v>
      </c>
      <c r="B322" s="3">
        <v>39800</v>
      </c>
      <c r="C322" s="4">
        <v>0.18259912651653101</v>
      </c>
      <c r="D322" s="4">
        <v>0.20241844654083299</v>
      </c>
      <c r="E322" s="4">
        <v>188</v>
      </c>
      <c r="F322" s="4">
        <v>0</v>
      </c>
      <c r="G322" s="4">
        <v>28.289791666666702</v>
      </c>
      <c r="H322" s="4">
        <v>0</v>
      </c>
      <c r="I322" s="4">
        <v>6.9444444444444397E-3</v>
      </c>
      <c r="J322" s="4">
        <v>12</v>
      </c>
      <c r="K322" s="4">
        <v>2008</v>
      </c>
      <c r="M322" s="5"/>
      <c r="O322" s="4">
        <v>0.01</v>
      </c>
      <c r="P322" s="4">
        <v>0.01</v>
      </c>
      <c r="Q322" s="4">
        <f>(P322-P321)/P321</f>
        <v>-0.96</v>
      </c>
      <c r="R322" s="4">
        <v>45</v>
      </c>
      <c r="S322" s="3">
        <v>39800</v>
      </c>
      <c r="T322" s="2">
        <f>IF(N322&gt;0,1,0)</f>
        <v>0</v>
      </c>
    </row>
    <row r="323" spans="1:20" x14ac:dyDescent="0.2">
      <c r="A323" s="6">
        <v>322</v>
      </c>
      <c r="B323" s="3">
        <v>39808</v>
      </c>
      <c r="C323" s="4">
        <v>0.19431619428926</v>
      </c>
      <c r="D323" s="4">
        <v>0.18758297959963499</v>
      </c>
      <c r="E323" s="4">
        <v>144</v>
      </c>
      <c r="F323" s="4">
        <v>1</v>
      </c>
      <c r="G323" s="4">
        <v>27.9930555555556</v>
      </c>
      <c r="H323" s="4">
        <v>6.9444444444444397E-3</v>
      </c>
      <c r="I323" s="4">
        <v>5.5555555555555601E-3</v>
      </c>
      <c r="J323" s="4">
        <v>12</v>
      </c>
      <c r="K323" s="4">
        <v>2008</v>
      </c>
      <c r="M323" s="5"/>
      <c r="O323" s="4">
        <v>6.9444444444444397E-3</v>
      </c>
      <c r="P323" s="4">
        <v>6.9444444444444397E-3</v>
      </c>
      <c r="Q323" s="4">
        <f>(P323-P322)/P322</f>
        <v>-0.30555555555555602</v>
      </c>
      <c r="R323" s="4">
        <v>46</v>
      </c>
      <c r="S323" s="3">
        <v>39808</v>
      </c>
      <c r="T323" s="2">
        <f>IF(N323&gt;0,1,0)</f>
        <v>0</v>
      </c>
    </row>
    <row r="324" spans="1:20" x14ac:dyDescent="0.2">
      <c r="A324" s="6">
        <v>323</v>
      </c>
      <c r="B324" s="3">
        <v>39814</v>
      </c>
      <c r="C324" s="4">
        <v>0.226376871267954</v>
      </c>
      <c r="D324" s="4">
        <v>0.21408983568350501</v>
      </c>
      <c r="E324" s="4">
        <v>180</v>
      </c>
      <c r="F324" s="4">
        <v>1</v>
      </c>
      <c r="G324" s="4">
        <v>27.971458333333299</v>
      </c>
      <c r="H324" s="4">
        <v>5.5555555555555601E-3</v>
      </c>
      <c r="I324" s="4">
        <v>0.18333333333333299</v>
      </c>
      <c r="J324" s="4">
        <v>1</v>
      </c>
      <c r="K324" s="4">
        <v>2009</v>
      </c>
      <c r="L324">
        <v>2009</v>
      </c>
      <c r="M324" s="5" t="s">
        <v>12</v>
      </c>
      <c r="O324" s="4">
        <v>5.5555555555555601E-3</v>
      </c>
      <c r="P324" s="4">
        <v>5.5555555555555601E-3</v>
      </c>
      <c r="Q324" s="4">
        <f>(P324-P323)/P323</f>
        <v>-0.19999999999999879</v>
      </c>
      <c r="R324" s="4">
        <v>1</v>
      </c>
      <c r="S324" s="3">
        <v>39814</v>
      </c>
      <c r="T324" s="2">
        <f>IF(N324&gt;0,1,0)</f>
        <v>0</v>
      </c>
    </row>
    <row r="325" spans="1:20" x14ac:dyDescent="0.2">
      <c r="A325" s="6">
        <v>324</v>
      </c>
      <c r="B325" s="3">
        <v>39822</v>
      </c>
      <c r="C325" s="4">
        <v>0.13126385180900499</v>
      </c>
      <c r="D325" s="4">
        <v>0.113640079895655</v>
      </c>
      <c r="E325" s="4">
        <v>180</v>
      </c>
      <c r="F325" s="4">
        <v>33</v>
      </c>
      <c r="G325" s="4">
        <v>28.447500000000002</v>
      </c>
      <c r="H325" s="4">
        <v>0.18333333333333299</v>
      </c>
      <c r="I325" s="4">
        <v>0.327777777777778</v>
      </c>
      <c r="J325" s="4">
        <v>1</v>
      </c>
      <c r="K325" s="4">
        <v>2009</v>
      </c>
      <c r="M325" s="5"/>
      <c r="O325" s="4">
        <v>0.18333333333333299</v>
      </c>
      <c r="P325" s="4">
        <v>0.18333333333333299</v>
      </c>
      <c r="Q325" s="4">
        <f>(P325-P324)/P324</f>
        <v>31.999999999999911</v>
      </c>
      <c r="R325" s="4">
        <v>2</v>
      </c>
      <c r="S325" s="3">
        <v>39822</v>
      </c>
      <c r="T325" s="2">
        <f>IF(N325&gt;0,1,0)</f>
        <v>0</v>
      </c>
    </row>
    <row r="326" spans="1:20" x14ac:dyDescent="0.2">
      <c r="A326" s="6">
        <v>325</v>
      </c>
      <c r="B326" s="3">
        <v>39830</v>
      </c>
      <c r="C326" s="4">
        <v>0.130512566719618</v>
      </c>
      <c r="D326" s="4">
        <v>0.111379654457172</v>
      </c>
      <c r="E326" s="4">
        <v>180</v>
      </c>
      <c r="F326" s="4">
        <v>59</v>
      </c>
      <c r="G326" s="4">
        <v>28.385338541666702</v>
      </c>
      <c r="H326" s="4">
        <v>0.327777777777778</v>
      </c>
      <c r="I326" s="4">
        <v>0.88043478260869601</v>
      </c>
      <c r="J326" s="4">
        <v>1</v>
      </c>
      <c r="K326" s="4">
        <v>2009</v>
      </c>
      <c r="M326" s="5"/>
      <c r="O326" s="4">
        <v>0.327777777777778</v>
      </c>
      <c r="P326" s="4">
        <v>0.327777777777778</v>
      </c>
      <c r="Q326" s="4">
        <f>(P326-P325)/P325</f>
        <v>0.78787878787879251</v>
      </c>
      <c r="R326" s="4">
        <v>3</v>
      </c>
      <c r="S326" s="3">
        <v>39830</v>
      </c>
      <c r="T326" s="2">
        <f>IF(N326&gt;0,1,0)</f>
        <v>0</v>
      </c>
    </row>
    <row r="327" spans="1:20" x14ac:dyDescent="0.2">
      <c r="A327" s="6">
        <v>326</v>
      </c>
      <c r="B327" s="3">
        <v>39838</v>
      </c>
      <c r="C327" s="4">
        <v>0.15952700759107999</v>
      </c>
      <c r="D327" s="4">
        <v>0.158612129092217</v>
      </c>
      <c r="E327" s="4">
        <v>184</v>
      </c>
      <c r="F327" s="4">
        <v>162</v>
      </c>
      <c r="G327" s="4">
        <v>28.182473958333301</v>
      </c>
      <c r="H327" s="4">
        <v>0.88043478260869601</v>
      </c>
      <c r="I327" s="4">
        <v>0.58333333333333304</v>
      </c>
      <c r="J327" s="4">
        <v>1</v>
      </c>
      <c r="K327" s="4">
        <v>2009</v>
      </c>
      <c r="M327" s="5"/>
      <c r="O327" s="4">
        <v>0.88043478260869601</v>
      </c>
      <c r="P327" s="4">
        <v>0.88043478260869601</v>
      </c>
      <c r="Q327" s="4">
        <f>(P327-P326)/P326</f>
        <v>1.6860722181282235</v>
      </c>
      <c r="R327" s="4">
        <v>4</v>
      </c>
      <c r="S327" s="3">
        <v>39838</v>
      </c>
      <c r="T327" s="2">
        <f>IF(N327&gt;0,1,0)</f>
        <v>0</v>
      </c>
    </row>
    <row r="328" spans="1:20" x14ac:dyDescent="0.2">
      <c r="A328" s="6">
        <v>327</v>
      </c>
      <c r="B328" s="3">
        <v>39846</v>
      </c>
      <c r="C328" s="4">
        <v>0.12783627455226201</v>
      </c>
      <c r="D328" s="4">
        <v>9.3835060795148195E-2</v>
      </c>
      <c r="E328" s="4">
        <v>180</v>
      </c>
      <c r="F328" s="4">
        <v>105</v>
      </c>
      <c r="G328" s="4">
        <v>28.717890624999999</v>
      </c>
      <c r="H328" s="4">
        <v>0.58333333333333304</v>
      </c>
      <c r="I328" s="4">
        <v>0.122222222222222</v>
      </c>
      <c r="J328" s="4">
        <v>2</v>
      </c>
      <c r="K328" s="4">
        <v>2009</v>
      </c>
      <c r="M328" s="5" t="s">
        <v>11</v>
      </c>
      <c r="O328" s="4">
        <v>0.58333333333333304</v>
      </c>
      <c r="P328" s="4">
        <v>0.58333333333333304</v>
      </c>
      <c r="Q328" s="4">
        <f>(P328-P327)/P327</f>
        <v>-0.33744855967078252</v>
      </c>
      <c r="R328" s="4">
        <v>5</v>
      </c>
      <c r="S328" s="3">
        <v>39846</v>
      </c>
      <c r="T328" s="2">
        <f>IF(N328&gt;0,1,0)</f>
        <v>0</v>
      </c>
    </row>
    <row r="329" spans="1:20" x14ac:dyDescent="0.2">
      <c r="A329" s="6">
        <v>328</v>
      </c>
      <c r="B329" s="3">
        <v>39854</v>
      </c>
      <c r="C329" s="4">
        <v>0.131431268890285</v>
      </c>
      <c r="D329" s="4">
        <v>0.114474162459373</v>
      </c>
      <c r="E329" s="4">
        <v>180</v>
      </c>
      <c r="F329" s="4">
        <v>22</v>
      </c>
      <c r="G329" s="4">
        <v>28.825338541666699</v>
      </c>
      <c r="H329" s="4">
        <v>0.122222222222222</v>
      </c>
      <c r="I329" s="4">
        <v>9.5744680851063801E-2</v>
      </c>
      <c r="J329" s="4">
        <v>2</v>
      </c>
      <c r="K329" s="4">
        <v>2009</v>
      </c>
      <c r="M329" s="5"/>
      <c r="O329" s="4">
        <v>0.122222222222222</v>
      </c>
      <c r="P329" s="4">
        <v>0.122222222222222</v>
      </c>
      <c r="Q329" s="4">
        <f>(P329-P328)/P328</f>
        <v>-0.79047619047619078</v>
      </c>
      <c r="R329" s="4">
        <v>6</v>
      </c>
      <c r="S329" s="3">
        <v>39854</v>
      </c>
      <c r="T329" s="2">
        <f>IF(N329&gt;0,1,0)</f>
        <v>0</v>
      </c>
    </row>
    <row r="330" spans="1:20" x14ac:dyDescent="0.2">
      <c r="A330" s="6">
        <v>329</v>
      </c>
      <c r="B330" s="3">
        <v>39862</v>
      </c>
      <c r="C330" s="4">
        <v>0.136116515017218</v>
      </c>
      <c r="D330" s="4">
        <v>0.116625068088373</v>
      </c>
      <c r="E330" s="4">
        <v>188</v>
      </c>
      <c r="F330" s="4">
        <v>18</v>
      </c>
      <c r="G330" s="4">
        <v>28.458541666666701</v>
      </c>
      <c r="H330" s="4">
        <v>9.5744680851063801E-2</v>
      </c>
      <c r="I330" s="4">
        <v>7.2222222222222202E-2</v>
      </c>
      <c r="J330" s="4">
        <v>2</v>
      </c>
      <c r="K330" s="4">
        <v>2009</v>
      </c>
      <c r="M330" s="5"/>
      <c r="O330" s="4">
        <v>9.5744680851063801E-2</v>
      </c>
      <c r="P330" s="4">
        <v>9.5744680851063801E-2</v>
      </c>
      <c r="Q330" s="4">
        <f>(P330-P329)/P329</f>
        <v>-0.21663442940038563</v>
      </c>
      <c r="R330" s="4">
        <v>7</v>
      </c>
      <c r="S330" s="3">
        <v>39862</v>
      </c>
      <c r="T330" s="2">
        <f>IF(N330&gt;0,1,0)</f>
        <v>0</v>
      </c>
    </row>
    <row r="331" spans="1:20" x14ac:dyDescent="0.2">
      <c r="A331" s="6">
        <v>330</v>
      </c>
      <c r="B331" s="3">
        <v>39870</v>
      </c>
      <c r="C331" s="4">
        <v>0.124170328202573</v>
      </c>
      <c r="D331" s="4">
        <v>0.116411134600639</v>
      </c>
      <c r="E331" s="4">
        <v>180</v>
      </c>
      <c r="F331" s="4">
        <v>13</v>
      </c>
      <c r="G331" s="4">
        <v>28.4077083333333</v>
      </c>
      <c r="H331" s="4">
        <v>7.2222222222222202E-2</v>
      </c>
      <c r="I331" s="4">
        <v>0</v>
      </c>
      <c r="J331" s="4">
        <v>2</v>
      </c>
      <c r="K331" s="4">
        <v>2009</v>
      </c>
      <c r="M331" s="5"/>
      <c r="O331" s="4">
        <v>7.2222222222222202E-2</v>
      </c>
      <c r="P331" s="4">
        <v>7.2222222222222202E-2</v>
      </c>
      <c r="Q331" s="4">
        <f>(P331-P330)/P330</f>
        <v>-0.24567901234567902</v>
      </c>
      <c r="R331" s="4">
        <v>8</v>
      </c>
      <c r="S331" s="3">
        <v>39870</v>
      </c>
      <c r="T331" s="2">
        <f>IF(N331&gt;0,1,0)</f>
        <v>0</v>
      </c>
    </row>
    <row r="332" spans="1:20" x14ac:dyDescent="0.2">
      <c r="A332" s="6">
        <v>331</v>
      </c>
      <c r="B332" s="3">
        <v>39878</v>
      </c>
      <c r="C332" s="4">
        <v>0.143627635565483</v>
      </c>
      <c r="D332" s="4">
        <v>0.122854060182969</v>
      </c>
      <c r="E332" s="4">
        <v>184</v>
      </c>
      <c r="F332" s="4">
        <v>0</v>
      </c>
      <c r="G332" s="4">
        <v>28.695</v>
      </c>
      <c r="H332" s="4">
        <v>0</v>
      </c>
      <c r="I332" s="4">
        <v>1.1111111111111099E-2</v>
      </c>
      <c r="J332" s="4">
        <v>3</v>
      </c>
      <c r="K332" s="4">
        <v>2009</v>
      </c>
      <c r="M332" s="5" t="s">
        <v>10</v>
      </c>
      <c r="O332" s="4">
        <v>0.01</v>
      </c>
      <c r="P332" s="4">
        <v>0.01</v>
      </c>
      <c r="Q332" s="4">
        <f>(P332-P331)/P331</f>
        <v>-0.86153846153846148</v>
      </c>
      <c r="R332" s="4">
        <v>9</v>
      </c>
      <c r="S332" s="3">
        <v>39878</v>
      </c>
      <c r="T332" s="2">
        <f>IF(N332&gt;0,1,0)</f>
        <v>0</v>
      </c>
    </row>
    <row r="333" spans="1:20" x14ac:dyDescent="0.2">
      <c r="A333" s="6">
        <v>332</v>
      </c>
      <c r="B333" s="3">
        <v>39886</v>
      </c>
      <c r="C333" s="4">
        <v>0.11540905872566801</v>
      </c>
      <c r="D333" s="4">
        <v>0.10266112163662899</v>
      </c>
      <c r="E333" s="4">
        <v>180</v>
      </c>
      <c r="F333" s="4">
        <v>2</v>
      </c>
      <c r="G333" s="4">
        <v>29.263828125</v>
      </c>
      <c r="H333" s="4">
        <v>1.1111111111111099E-2</v>
      </c>
      <c r="I333" s="4">
        <v>0.15</v>
      </c>
      <c r="J333" s="4">
        <v>3</v>
      </c>
      <c r="K333" s="4">
        <v>2009</v>
      </c>
      <c r="M333" s="5"/>
      <c r="O333" s="4">
        <v>1.1111111111111099E-2</v>
      </c>
      <c r="P333" s="4">
        <v>1.1111111111111099E-2</v>
      </c>
      <c r="Q333" s="4">
        <f>(P333-P332)/P332</f>
        <v>0.11111111111110991</v>
      </c>
      <c r="R333" s="4">
        <v>10</v>
      </c>
      <c r="S333" s="3">
        <v>39886</v>
      </c>
      <c r="T333" s="2">
        <f>IF(N333&gt;0,1,0)</f>
        <v>0</v>
      </c>
    </row>
    <row r="334" spans="1:20" x14ac:dyDescent="0.2">
      <c r="A334" s="6">
        <v>333</v>
      </c>
      <c r="B334" s="3">
        <v>39894</v>
      </c>
      <c r="C334" s="4">
        <v>0.104021275416017</v>
      </c>
      <c r="D334" s="4">
        <v>8.4786592672268596E-2</v>
      </c>
      <c r="E334" s="4">
        <v>180</v>
      </c>
      <c r="F334" s="4">
        <v>27</v>
      </c>
      <c r="G334" s="4">
        <v>29.622760416666701</v>
      </c>
      <c r="H334" s="4">
        <v>0.15</v>
      </c>
      <c r="I334" s="4">
        <v>0.201086956521739</v>
      </c>
      <c r="J334" s="4">
        <v>3</v>
      </c>
      <c r="K334" s="4">
        <v>2009</v>
      </c>
      <c r="M334" s="5"/>
      <c r="O334" s="4">
        <v>0.15</v>
      </c>
      <c r="P334" s="4">
        <v>0.15</v>
      </c>
      <c r="Q334" s="4">
        <f>(P334-P333)/P333</f>
        <v>12.500000000000014</v>
      </c>
      <c r="R334" s="4">
        <v>11</v>
      </c>
      <c r="S334" s="3">
        <v>39894</v>
      </c>
      <c r="T334" s="2">
        <f>IF(N334&gt;0,1,0)</f>
        <v>0</v>
      </c>
    </row>
    <row r="335" spans="1:20" x14ac:dyDescent="0.2">
      <c r="A335" s="6">
        <v>334</v>
      </c>
      <c r="B335" s="3">
        <v>39902</v>
      </c>
      <c r="C335" s="4">
        <v>0.101013980184992</v>
      </c>
      <c r="D335" s="4">
        <v>8.2274689028660503E-2</v>
      </c>
      <c r="E335" s="4">
        <v>184</v>
      </c>
      <c r="F335" s="4">
        <v>37</v>
      </c>
      <c r="G335" s="4">
        <v>29.358333333333299</v>
      </c>
      <c r="H335" s="4">
        <v>0.201086956521739</v>
      </c>
      <c r="I335" s="4">
        <v>0.34782608695652201</v>
      </c>
      <c r="J335" s="4">
        <v>3</v>
      </c>
      <c r="K335" s="4">
        <v>2009</v>
      </c>
      <c r="M335" s="5"/>
      <c r="O335" s="4">
        <v>0.201086956521739</v>
      </c>
      <c r="P335" s="4">
        <v>0.201086956521739</v>
      </c>
      <c r="Q335" s="4">
        <f>(P335-P334)/P334</f>
        <v>0.34057971014492672</v>
      </c>
      <c r="R335" s="4">
        <v>12</v>
      </c>
      <c r="S335" s="3">
        <v>39902</v>
      </c>
      <c r="T335" s="2">
        <f>IF(N335&gt;0,1,0)</f>
        <v>0</v>
      </c>
    </row>
    <row r="336" spans="1:20" x14ac:dyDescent="0.2">
      <c r="A336" s="6">
        <v>335</v>
      </c>
      <c r="B336" s="3">
        <v>39910</v>
      </c>
      <c r="C336" s="4">
        <v>0.122924612058947</v>
      </c>
      <c r="D336" s="4">
        <v>0.114327263087034</v>
      </c>
      <c r="E336" s="4">
        <v>184</v>
      </c>
      <c r="F336" s="4">
        <v>64</v>
      </c>
      <c r="G336" s="4">
        <v>29.101953125000001</v>
      </c>
      <c r="H336" s="4">
        <v>0.34782608695652201</v>
      </c>
      <c r="I336" s="4">
        <v>7.3863636363636395E-2</v>
      </c>
      <c r="J336" s="4">
        <v>4</v>
      </c>
      <c r="K336" s="4">
        <v>2009</v>
      </c>
      <c r="M336" s="5" t="s">
        <v>9</v>
      </c>
      <c r="O336" s="4">
        <v>0.34782608695652201</v>
      </c>
      <c r="P336" s="4">
        <v>0.34782608695652201</v>
      </c>
      <c r="Q336" s="4">
        <f>(P336-P335)/P335</f>
        <v>0.72972972972973227</v>
      </c>
      <c r="R336" s="4">
        <v>13</v>
      </c>
      <c r="S336" s="3">
        <v>39910</v>
      </c>
      <c r="T336" s="2">
        <f>IF(N336&gt;0,1,0)</f>
        <v>0</v>
      </c>
    </row>
    <row r="337" spans="1:20" x14ac:dyDescent="0.2">
      <c r="A337" s="6">
        <v>336</v>
      </c>
      <c r="B337" s="3">
        <v>39918</v>
      </c>
      <c r="C337" s="4">
        <v>0.24922774628632599</v>
      </c>
      <c r="D337" s="4">
        <v>0.272569353381793</v>
      </c>
      <c r="E337" s="4">
        <v>176</v>
      </c>
      <c r="F337" s="4">
        <v>13</v>
      </c>
      <c r="G337" s="4">
        <v>28.691302083333301</v>
      </c>
      <c r="H337" s="4">
        <v>7.3863636363636395E-2</v>
      </c>
      <c r="I337" s="4">
        <v>7.9787234042553196E-2</v>
      </c>
      <c r="J337" s="4">
        <v>4</v>
      </c>
      <c r="K337" s="4">
        <v>2009</v>
      </c>
      <c r="M337" s="5"/>
      <c r="O337" s="4">
        <v>7.3863636363636395E-2</v>
      </c>
      <c r="P337" s="4">
        <v>7.3863636363636395E-2</v>
      </c>
      <c r="Q337" s="4">
        <f>(P337-P336)/P336</f>
        <v>-0.78764204545454553</v>
      </c>
      <c r="R337" s="4">
        <v>14</v>
      </c>
      <c r="S337" s="3">
        <v>39918</v>
      </c>
      <c r="T337" s="2">
        <f>IF(N337&gt;0,1,0)</f>
        <v>0</v>
      </c>
    </row>
    <row r="338" spans="1:20" x14ac:dyDescent="0.2">
      <c r="A338" s="6">
        <v>337</v>
      </c>
      <c r="B338" s="3">
        <v>39926</v>
      </c>
      <c r="C338" s="4">
        <v>0.14964835682055999</v>
      </c>
      <c r="D338" s="4">
        <v>0.146030083298683</v>
      </c>
      <c r="E338" s="4">
        <v>188</v>
      </c>
      <c r="F338" s="4">
        <v>15</v>
      </c>
      <c r="G338" s="4">
        <v>29.071354166666701</v>
      </c>
      <c r="H338" s="4">
        <v>7.9787234042553196E-2</v>
      </c>
      <c r="I338" s="4">
        <v>0.25</v>
      </c>
      <c r="J338" s="4">
        <v>4</v>
      </c>
      <c r="K338" s="4">
        <v>2009</v>
      </c>
      <c r="M338" s="5"/>
      <c r="O338" s="4">
        <v>7.9787234042553196E-2</v>
      </c>
      <c r="P338" s="4">
        <v>7.9787234042553196E-2</v>
      </c>
      <c r="Q338" s="4">
        <f>(P338-P337)/P337</f>
        <v>8.0196399345335109E-2</v>
      </c>
      <c r="R338" s="4">
        <v>15</v>
      </c>
      <c r="S338" s="3">
        <v>39926</v>
      </c>
      <c r="T338" s="2">
        <f>IF(N338&gt;0,1,0)</f>
        <v>0</v>
      </c>
    </row>
    <row r="339" spans="1:20" x14ac:dyDescent="0.2">
      <c r="A339" s="6">
        <v>338</v>
      </c>
      <c r="B339" s="3">
        <v>39934</v>
      </c>
      <c r="C339" s="4">
        <v>0.11927278857264299</v>
      </c>
      <c r="D339" s="4">
        <v>0.109611497571071</v>
      </c>
      <c r="E339" s="4">
        <v>180</v>
      </c>
      <c r="F339" s="4">
        <v>45</v>
      </c>
      <c r="G339" s="4">
        <v>28.8567708333333</v>
      </c>
      <c r="H339" s="4">
        <v>0.25</v>
      </c>
      <c r="I339" s="4">
        <v>1.0416666666666701E-2</v>
      </c>
      <c r="J339" s="4">
        <v>5</v>
      </c>
      <c r="K339" s="4">
        <v>2009</v>
      </c>
      <c r="M339" s="5" t="s">
        <v>8</v>
      </c>
      <c r="O339" s="4">
        <v>0.25</v>
      </c>
      <c r="P339" s="4">
        <v>0.25</v>
      </c>
      <c r="Q339" s="4">
        <f>(P339-P338)/P338</f>
        <v>2.1333333333333333</v>
      </c>
      <c r="R339" s="4">
        <v>16</v>
      </c>
      <c r="S339" s="3">
        <v>39934</v>
      </c>
      <c r="T339" s="2">
        <f>IF(N339&gt;0,1,0)</f>
        <v>0</v>
      </c>
    </row>
    <row r="340" spans="1:20" x14ac:dyDescent="0.2">
      <c r="A340" s="6">
        <v>339</v>
      </c>
      <c r="B340" s="3">
        <v>39942</v>
      </c>
      <c r="C340" s="4">
        <v>0.11076452262285701</v>
      </c>
      <c r="D340" s="4">
        <v>0.100136209279299</v>
      </c>
      <c r="E340" s="4">
        <v>192</v>
      </c>
      <c r="F340" s="4">
        <v>2</v>
      </c>
      <c r="G340" s="4">
        <v>28.778984375</v>
      </c>
      <c r="H340" s="4">
        <v>1.0416666666666701E-2</v>
      </c>
      <c r="I340" s="4">
        <v>0</v>
      </c>
      <c r="J340" s="4">
        <v>5</v>
      </c>
      <c r="K340" s="4">
        <v>2009</v>
      </c>
      <c r="M340" s="5"/>
      <c r="O340" s="4">
        <v>1.0416666666666701E-2</v>
      </c>
      <c r="P340" s="4">
        <v>1.0416666666666701E-2</v>
      </c>
      <c r="Q340" s="4">
        <f>(P340-P339)/P339</f>
        <v>-0.95833333333333315</v>
      </c>
      <c r="R340" s="4">
        <v>17</v>
      </c>
      <c r="S340" s="3">
        <v>39942</v>
      </c>
      <c r="T340" s="2">
        <f>IF(N340&gt;0,1,0)</f>
        <v>0</v>
      </c>
    </row>
    <row r="341" spans="1:20" x14ac:dyDescent="0.2">
      <c r="A341" s="6">
        <v>340</v>
      </c>
      <c r="B341" s="3">
        <v>39950</v>
      </c>
      <c r="C341" s="4">
        <v>0.119250598415318</v>
      </c>
      <c r="D341" s="4">
        <v>0.101562617967526</v>
      </c>
      <c r="E341" s="4">
        <v>192</v>
      </c>
      <c r="F341" s="4">
        <v>0</v>
      </c>
      <c r="G341" s="4">
        <v>28.572890624999999</v>
      </c>
      <c r="H341" s="4">
        <v>0</v>
      </c>
      <c r="I341" s="4">
        <v>0</v>
      </c>
      <c r="J341" s="4">
        <v>5</v>
      </c>
      <c r="K341" s="4">
        <v>2009</v>
      </c>
      <c r="M341" s="5"/>
      <c r="O341" s="4">
        <v>0.01</v>
      </c>
      <c r="P341" s="4">
        <v>0.01</v>
      </c>
      <c r="Q341" s="4">
        <f>(P341-P340)/P340</f>
        <v>-4.0000000000003123E-2</v>
      </c>
      <c r="R341" s="4">
        <v>18</v>
      </c>
      <c r="S341" s="3">
        <v>39950</v>
      </c>
      <c r="T341" s="2">
        <f>IF(N341&gt;0,1,0)</f>
        <v>0</v>
      </c>
    </row>
    <row r="342" spans="1:20" x14ac:dyDescent="0.2">
      <c r="A342" s="6">
        <v>341</v>
      </c>
      <c r="B342" s="3">
        <v>39958</v>
      </c>
      <c r="C342" s="4">
        <v>0.14209168814662601</v>
      </c>
      <c r="D342" s="4">
        <v>0.11572249978780701</v>
      </c>
      <c r="E342" s="4">
        <v>180</v>
      </c>
      <c r="F342" s="4">
        <v>0</v>
      </c>
      <c r="G342" s="4">
        <v>28.049531250000001</v>
      </c>
      <c r="H342" s="4">
        <v>0</v>
      </c>
      <c r="I342" s="4">
        <v>0.25414364640884002</v>
      </c>
      <c r="J342" s="4">
        <v>5</v>
      </c>
      <c r="K342" s="4">
        <v>2009</v>
      </c>
      <c r="M342" s="5"/>
      <c r="O342" s="4">
        <v>0.01</v>
      </c>
      <c r="P342" s="4">
        <v>0.01</v>
      </c>
      <c r="Q342" s="4">
        <f>(P342-P341)/P341</f>
        <v>0</v>
      </c>
      <c r="R342" s="4">
        <v>19</v>
      </c>
      <c r="S342" s="3">
        <v>39958</v>
      </c>
      <c r="T342" s="2">
        <f>IF(N342&gt;0,1,0)</f>
        <v>0</v>
      </c>
    </row>
    <row r="343" spans="1:20" x14ac:dyDescent="0.2">
      <c r="A343" s="6">
        <v>342</v>
      </c>
      <c r="B343" s="3">
        <v>39966</v>
      </c>
      <c r="C343" s="4">
        <v>0.163385503459722</v>
      </c>
      <c r="D343" s="4">
        <v>0.15341150760650599</v>
      </c>
      <c r="E343" s="4">
        <v>181</v>
      </c>
      <c r="F343" s="4">
        <v>46</v>
      </c>
      <c r="G343" s="4">
        <v>27.650859375</v>
      </c>
      <c r="H343" s="4">
        <v>0.25414364640884002</v>
      </c>
      <c r="I343" s="4">
        <v>0.86413043478260898</v>
      </c>
      <c r="J343" s="4">
        <v>6</v>
      </c>
      <c r="K343" s="4">
        <v>2009</v>
      </c>
      <c r="M343" s="5" t="s">
        <v>14</v>
      </c>
      <c r="O343" s="4">
        <v>0.25414364640884002</v>
      </c>
      <c r="P343" s="4">
        <v>0.25414364640884002</v>
      </c>
      <c r="Q343" s="4">
        <f>(P343-P342)/P342</f>
        <v>24.414364640883999</v>
      </c>
      <c r="R343" s="4">
        <v>20</v>
      </c>
      <c r="S343" s="3">
        <v>39966</v>
      </c>
      <c r="T343" s="2">
        <f>IF(N343&gt;0,1,0)</f>
        <v>0</v>
      </c>
    </row>
    <row r="344" spans="1:20" x14ac:dyDescent="0.2">
      <c r="A344" s="6">
        <v>343</v>
      </c>
      <c r="B344" s="3">
        <v>39974</v>
      </c>
      <c r="C344" s="4">
        <v>0.15770322964009301</v>
      </c>
      <c r="D344" s="4">
        <v>0.14626731723547001</v>
      </c>
      <c r="E344" s="4">
        <v>184</v>
      </c>
      <c r="F344" s="4">
        <v>159</v>
      </c>
      <c r="G344" s="4">
        <v>27.7228125</v>
      </c>
      <c r="H344" s="4">
        <v>0.86413043478260898</v>
      </c>
      <c r="I344" s="4">
        <v>0.48977395048439198</v>
      </c>
      <c r="J344" s="4">
        <v>6</v>
      </c>
      <c r="K344" s="4">
        <v>2009</v>
      </c>
      <c r="M344" s="5"/>
      <c r="O344" s="4">
        <v>0.86413043478260898</v>
      </c>
      <c r="P344" s="4">
        <v>0.86413043478260898</v>
      </c>
      <c r="Q344" s="4">
        <f>(P344-P343)/P343</f>
        <v>2.4001654064272189</v>
      </c>
      <c r="R344" s="4">
        <v>21</v>
      </c>
      <c r="S344" s="3">
        <v>39974</v>
      </c>
      <c r="T344" s="2">
        <f>IF(N344&gt;0,1,0)</f>
        <v>0</v>
      </c>
    </row>
    <row r="345" spans="1:20" x14ac:dyDescent="0.2">
      <c r="A345" s="6">
        <v>344</v>
      </c>
      <c r="B345" s="3">
        <v>39982</v>
      </c>
      <c r="C345" s="4">
        <v>0.153357195771403</v>
      </c>
      <c r="D345" s="4">
        <v>0.139061833421389</v>
      </c>
      <c r="E345" s="4">
        <v>185.8</v>
      </c>
      <c r="F345" s="4">
        <v>91</v>
      </c>
      <c r="G345" s="4">
        <v>27.799661458333301</v>
      </c>
      <c r="H345" s="4">
        <v>0.48977395048439198</v>
      </c>
      <c r="I345" s="4">
        <v>3.3333333333333298E-2</v>
      </c>
      <c r="J345" s="4">
        <v>6</v>
      </c>
      <c r="K345" s="4">
        <v>2009</v>
      </c>
      <c r="M345" s="5"/>
      <c r="O345" s="4">
        <v>0.48977395048439198</v>
      </c>
      <c r="P345" s="4">
        <v>0.48977395048439198</v>
      </c>
      <c r="Q345" s="4">
        <f>(P345-P344)/P344</f>
        <v>-0.43321756673504341</v>
      </c>
      <c r="R345" s="4">
        <v>22</v>
      </c>
      <c r="S345" s="3">
        <v>39982</v>
      </c>
      <c r="T345" s="2">
        <f>IF(N345&gt;0,1,0)</f>
        <v>0</v>
      </c>
    </row>
    <row r="346" spans="1:20" x14ac:dyDescent="0.2">
      <c r="A346" s="6">
        <v>345</v>
      </c>
      <c r="B346" s="3">
        <v>39990</v>
      </c>
      <c r="C346" s="4">
        <v>0.138777863833454</v>
      </c>
      <c r="D346" s="4">
        <v>0.124752589811881</v>
      </c>
      <c r="E346" s="4">
        <v>180</v>
      </c>
      <c r="F346" s="4">
        <v>6</v>
      </c>
      <c r="G346" s="4">
        <v>27.733854166666699</v>
      </c>
      <c r="H346" s="4">
        <v>3.3333333333333298E-2</v>
      </c>
      <c r="I346" s="4">
        <v>0</v>
      </c>
      <c r="J346" s="4">
        <v>6</v>
      </c>
      <c r="K346" s="4">
        <v>2009</v>
      </c>
      <c r="M346" s="5"/>
      <c r="O346" s="4">
        <v>3.3333333333333298E-2</v>
      </c>
      <c r="P346" s="4">
        <v>3.3333333333333298E-2</v>
      </c>
      <c r="Q346" s="4">
        <f>(P346-P345)/P345</f>
        <v>-0.93194139194139203</v>
      </c>
      <c r="R346" s="4">
        <v>23</v>
      </c>
      <c r="S346" s="3">
        <v>39990</v>
      </c>
      <c r="T346" s="2">
        <f>IF(N346&gt;0,1,0)</f>
        <v>0</v>
      </c>
    </row>
    <row r="347" spans="1:20" x14ac:dyDescent="0.2">
      <c r="A347" s="6">
        <v>346</v>
      </c>
      <c r="B347" s="3">
        <v>39998</v>
      </c>
      <c r="C347" s="4">
        <v>0.133794255569228</v>
      </c>
      <c r="D347" s="4">
        <v>0.12243702262639999</v>
      </c>
      <c r="E347" s="4">
        <v>184</v>
      </c>
      <c r="F347" s="4">
        <v>0</v>
      </c>
      <c r="G347" s="4">
        <v>27.73015625</v>
      </c>
      <c r="H347" s="4">
        <v>0</v>
      </c>
      <c r="I347" s="4">
        <v>5.5555555555555601E-3</v>
      </c>
      <c r="J347" s="4">
        <v>7</v>
      </c>
      <c r="K347" s="4">
        <v>2009</v>
      </c>
      <c r="M347" s="5" t="s">
        <v>13</v>
      </c>
      <c r="O347" s="4">
        <v>0.01</v>
      </c>
      <c r="P347" s="4">
        <v>0.01</v>
      </c>
      <c r="Q347" s="4">
        <f>(P347-P346)/P346</f>
        <v>-0.69999999999999962</v>
      </c>
      <c r="R347" s="4">
        <v>24</v>
      </c>
      <c r="S347" s="3">
        <v>39998</v>
      </c>
      <c r="T347" s="2">
        <f>IF(N347&gt;0,1,0)</f>
        <v>0</v>
      </c>
    </row>
    <row r="348" spans="1:20" x14ac:dyDescent="0.2">
      <c r="A348" s="6">
        <v>347</v>
      </c>
      <c r="B348" s="3">
        <v>40006</v>
      </c>
      <c r="C348" s="4">
        <v>0.170717441476882</v>
      </c>
      <c r="D348" s="4">
        <v>0.148697644472122</v>
      </c>
      <c r="E348" s="4">
        <v>180</v>
      </c>
      <c r="F348" s="4">
        <v>1</v>
      </c>
      <c r="G348" s="4">
        <v>27.3679947916667</v>
      </c>
      <c r="H348" s="4">
        <v>5.5555555555555601E-3</v>
      </c>
      <c r="I348" s="4">
        <v>5.5555555555555601E-3</v>
      </c>
      <c r="J348" s="4">
        <v>7</v>
      </c>
      <c r="K348" s="4">
        <v>2009</v>
      </c>
      <c r="M348" s="5"/>
      <c r="O348" s="4">
        <v>5.5555555555555601E-3</v>
      </c>
      <c r="P348" s="4">
        <v>5.5555555555555601E-3</v>
      </c>
      <c r="Q348" s="4">
        <f>(P348-P347)/P347</f>
        <v>-0.44444444444444398</v>
      </c>
      <c r="R348" s="4">
        <v>25</v>
      </c>
      <c r="S348" s="3">
        <v>40006</v>
      </c>
      <c r="T348" s="2">
        <f>IF(N348&gt;0,1,0)</f>
        <v>0</v>
      </c>
    </row>
    <row r="349" spans="1:20" x14ac:dyDescent="0.2">
      <c r="A349" s="6">
        <v>348</v>
      </c>
      <c r="B349" s="3">
        <v>40014</v>
      </c>
      <c r="C349" s="4">
        <v>0.14296760596334901</v>
      </c>
      <c r="D349" s="4">
        <v>0.12480457127094299</v>
      </c>
      <c r="E349" s="4">
        <v>180</v>
      </c>
      <c r="F349" s="4">
        <v>1</v>
      </c>
      <c r="G349" s="4">
        <v>27.140338541666701</v>
      </c>
      <c r="H349" s="4">
        <v>5.5555555555555601E-3</v>
      </c>
      <c r="I349" s="4">
        <v>4.95049504950495E-2</v>
      </c>
      <c r="J349" s="4">
        <v>7</v>
      </c>
      <c r="K349" s="4">
        <v>2009</v>
      </c>
      <c r="M349" s="5"/>
      <c r="O349" s="4">
        <v>5.5555555555555601E-3</v>
      </c>
      <c r="P349" s="4">
        <v>5.5555555555555601E-3</v>
      </c>
      <c r="Q349" s="4">
        <f>(P349-P348)/P348</f>
        <v>0</v>
      </c>
      <c r="R349" s="4">
        <v>26</v>
      </c>
      <c r="S349" s="3">
        <v>40014</v>
      </c>
      <c r="T349" s="2">
        <f>IF(N349&gt;0,1,0)</f>
        <v>0</v>
      </c>
    </row>
    <row r="350" spans="1:20" x14ac:dyDescent="0.2">
      <c r="A350" s="6">
        <v>349</v>
      </c>
      <c r="B350" s="3">
        <v>40022</v>
      </c>
      <c r="C350" s="4">
        <v>0.14222562794263199</v>
      </c>
      <c r="D350" s="4">
        <v>0.13570194443066899</v>
      </c>
      <c r="E350" s="4">
        <v>181.8</v>
      </c>
      <c r="F350" s="4">
        <v>9</v>
      </c>
      <c r="G350" s="4">
        <v>27.2793229166667</v>
      </c>
      <c r="H350" s="4">
        <v>4.95049504950495E-2</v>
      </c>
      <c r="I350" s="4">
        <v>0.47872340425531901</v>
      </c>
      <c r="J350" s="4">
        <v>7</v>
      </c>
      <c r="K350" s="4">
        <v>2009</v>
      </c>
      <c r="M350" s="5"/>
      <c r="O350" s="4">
        <v>4.95049504950495E-2</v>
      </c>
      <c r="P350" s="4">
        <v>4.95049504950495E-2</v>
      </c>
      <c r="Q350" s="4">
        <f>(P350-P349)/P349</f>
        <v>7.9108910891089037</v>
      </c>
      <c r="R350" s="4">
        <v>27</v>
      </c>
      <c r="S350" s="3">
        <v>40022</v>
      </c>
      <c r="T350" s="2">
        <f>IF(N350&gt;0,1,0)</f>
        <v>0</v>
      </c>
    </row>
    <row r="351" spans="1:20" x14ac:dyDescent="0.2">
      <c r="A351" s="6">
        <v>350</v>
      </c>
      <c r="B351" s="3">
        <v>40030</v>
      </c>
      <c r="C351" s="4">
        <v>0.135758316403048</v>
      </c>
      <c r="D351" s="4">
        <v>0.121960118412971</v>
      </c>
      <c r="E351" s="4">
        <v>188</v>
      </c>
      <c r="F351" s="4">
        <v>90</v>
      </c>
      <c r="G351" s="4">
        <v>27.511822916666699</v>
      </c>
      <c r="H351" s="4">
        <v>0.47872340425531901</v>
      </c>
      <c r="I351" s="4">
        <v>0.25</v>
      </c>
      <c r="J351" s="4">
        <v>8</v>
      </c>
      <c r="K351" s="4">
        <v>2009</v>
      </c>
      <c r="M351" s="5" t="s">
        <v>5</v>
      </c>
      <c r="O351" s="4">
        <v>0.47872340425531901</v>
      </c>
      <c r="P351" s="4">
        <v>0.47872340425531901</v>
      </c>
      <c r="Q351" s="4">
        <f>(P351-P350)/P350</f>
        <v>8.6702127659574444</v>
      </c>
      <c r="R351" s="4">
        <v>28</v>
      </c>
      <c r="S351" s="3">
        <v>40030</v>
      </c>
      <c r="T351" s="2">
        <f>IF(N351&gt;0,1,0)</f>
        <v>0</v>
      </c>
    </row>
    <row r="352" spans="1:20" x14ac:dyDescent="0.2">
      <c r="A352" s="6">
        <v>351</v>
      </c>
      <c r="B352" s="3">
        <v>40038</v>
      </c>
      <c r="C352" s="4">
        <v>0.116609088816009</v>
      </c>
      <c r="D352" s="4">
        <v>9.9380714197953496E-2</v>
      </c>
      <c r="E352" s="4">
        <v>188</v>
      </c>
      <c r="F352" s="4">
        <v>47</v>
      </c>
      <c r="G352" s="4">
        <v>27.6059635416667</v>
      </c>
      <c r="H352" s="4">
        <v>0.25</v>
      </c>
      <c r="I352" s="4">
        <v>0</v>
      </c>
      <c r="J352" s="4">
        <v>8</v>
      </c>
      <c r="K352" s="4">
        <v>2009</v>
      </c>
      <c r="M352" s="5"/>
      <c r="O352" s="4">
        <v>0.25</v>
      </c>
      <c r="P352" s="4">
        <v>0.25</v>
      </c>
      <c r="Q352" s="4">
        <f>(P352-P351)/P351</f>
        <v>-0.47777777777777763</v>
      </c>
      <c r="R352" s="4">
        <v>29</v>
      </c>
      <c r="S352" s="3">
        <v>40038</v>
      </c>
      <c r="T352" s="2">
        <f>IF(N352&gt;0,1,0)</f>
        <v>0</v>
      </c>
    </row>
    <row r="353" spans="1:20" x14ac:dyDescent="0.2">
      <c r="A353" s="6">
        <v>352</v>
      </c>
      <c r="B353" s="3">
        <v>40046</v>
      </c>
      <c r="C353" s="4">
        <v>0.180980359928475</v>
      </c>
      <c r="D353" s="4">
        <v>0.14945011585950899</v>
      </c>
      <c r="E353" s="4">
        <v>176</v>
      </c>
      <c r="F353" s="4">
        <v>0</v>
      </c>
      <c r="G353" s="4">
        <v>26.971145833333299</v>
      </c>
      <c r="H353" s="4">
        <v>0</v>
      </c>
      <c r="I353" s="4">
        <v>1.0638297872340399E-2</v>
      </c>
      <c r="J353" s="4">
        <v>8</v>
      </c>
      <c r="K353" s="4">
        <v>2009</v>
      </c>
      <c r="M353" s="5"/>
      <c r="O353" s="4">
        <v>0.01</v>
      </c>
      <c r="P353" s="4">
        <v>0.01</v>
      </c>
      <c r="Q353" s="4">
        <f>(P353-P352)/P352</f>
        <v>-0.96</v>
      </c>
      <c r="R353" s="4">
        <v>30</v>
      </c>
      <c r="S353" s="3">
        <v>40046</v>
      </c>
      <c r="T353" s="2">
        <f>IF(N353&gt;0,1,0)</f>
        <v>0</v>
      </c>
    </row>
    <row r="354" spans="1:20" x14ac:dyDescent="0.2">
      <c r="A354" s="6">
        <v>353</v>
      </c>
      <c r="B354" s="3">
        <v>40054</v>
      </c>
      <c r="C354" s="4">
        <v>0.23118411004543299</v>
      </c>
      <c r="D354" s="4">
        <v>0.23534629990657199</v>
      </c>
      <c r="E354" s="4">
        <v>188</v>
      </c>
      <c r="F354" s="4">
        <v>2</v>
      </c>
      <c r="G354" s="4">
        <v>26.783958333333299</v>
      </c>
      <c r="H354" s="4">
        <v>1.0638297872340399E-2</v>
      </c>
      <c r="I354" s="4">
        <v>0</v>
      </c>
      <c r="J354" s="4">
        <v>8</v>
      </c>
      <c r="K354" s="4">
        <v>2009</v>
      </c>
      <c r="M354" s="5"/>
      <c r="O354" s="4">
        <v>1.0638297872340399E-2</v>
      </c>
      <c r="P354" s="4">
        <v>1.0638297872340399E-2</v>
      </c>
      <c r="Q354" s="4">
        <f>(P354-P353)/P353</f>
        <v>6.3829787234039898E-2</v>
      </c>
      <c r="R354" s="4">
        <v>31</v>
      </c>
      <c r="S354" s="3">
        <v>40054</v>
      </c>
      <c r="T354" s="2">
        <f>IF(N354&gt;0,1,0)</f>
        <v>0</v>
      </c>
    </row>
    <row r="355" spans="1:20" x14ac:dyDescent="0.2">
      <c r="A355" s="6">
        <v>354</v>
      </c>
      <c r="B355" s="3">
        <v>40062</v>
      </c>
      <c r="C355" s="4">
        <v>0.22223628416091601</v>
      </c>
      <c r="D355" s="4">
        <v>0.22847212851047499</v>
      </c>
      <c r="E355" s="4">
        <v>188</v>
      </c>
      <c r="F355" s="4">
        <v>0</v>
      </c>
      <c r="G355" s="4">
        <v>27.383697916666701</v>
      </c>
      <c r="H355" s="4">
        <v>0</v>
      </c>
      <c r="I355" s="4">
        <v>0</v>
      </c>
      <c r="J355" s="4">
        <v>9</v>
      </c>
      <c r="K355" s="4">
        <v>2009</v>
      </c>
      <c r="M355" s="5" t="s">
        <v>4</v>
      </c>
      <c r="O355" s="4">
        <v>0.01</v>
      </c>
      <c r="P355" s="4">
        <v>0.01</v>
      </c>
      <c r="Q355" s="4">
        <f>(P355-P354)/P354</f>
        <v>-5.9999999999997659E-2</v>
      </c>
      <c r="R355" s="4">
        <v>32</v>
      </c>
      <c r="S355" s="3">
        <v>40062</v>
      </c>
      <c r="T355" s="2">
        <f>IF(N355&gt;0,1,0)</f>
        <v>0</v>
      </c>
    </row>
    <row r="356" spans="1:20" x14ac:dyDescent="0.2">
      <c r="A356" s="6">
        <v>355</v>
      </c>
      <c r="B356" s="3">
        <v>40070</v>
      </c>
      <c r="C356" s="4">
        <v>0.21668313891815999</v>
      </c>
      <c r="D356" s="4">
        <v>0.223753961424033</v>
      </c>
      <c r="E356" s="4">
        <v>180</v>
      </c>
      <c r="F356" s="4">
        <v>0</v>
      </c>
      <c r="G356" s="4">
        <v>27.929791666666699</v>
      </c>
      <c r="H356" s="4">
        <v>0</v>
      </c>
      <c r="I356" s="4">
        <v>0.13043478260869601</v>
      </c>
      <c r="J356" s="4">
        <v>9</v>
      </c>
      <c r="K356" s="4">
        <v>2009</v>
      </c>
      <c r="M356" s="5"/>
      <c r="O356" s="4">
        <v>0.01</v>
      </c>
      <c r="P356" s="4">
        <v>0.01</v>
      </c>
      <c r="Q356" s="4">
        <f>(P356-P355)/P355</f>
        <v>0</v>
      </c>
      <c r="R356" s="4">
        <v>33</v>
      </c>
      <c r="S356" s="3">
        <v>40070</v>
      </c>
      <c r="T356" s="2">
        <f>IF(N356&gt;0,1,0)</f>
        <v>0</v>
      </c>
    </row>
    <row r="357" spans="1:20" x14ac:dyDescent="0.2">
      <c r="A357" s="6">
        <v>356</v>
      </c>
      <c r="B357" s="3">
        <v>40078</v>
      </c>
      <c r="C357" s="4">
        <v>0.13968481423540199</v>
      </c>
      <c r="D357" s="4">
        <v>0.12220878029863</v>
      </c>
      <c r="E357" s="4">
        <v>184</v>
      </c>
      <c r="F357" s="4">
        <v>24</v>
      </c>
      <c r="G357" s="4">
        <v>28.232265625</v>
      </c>
      <c r="H357" s="4">
        <v>0.13043478260869601</v>
      </c>
      <c r="I357" s="4">
        <v>0.14893617021276601</v>
      </c>
      <c r="J357" s="4">
        <v>9</v>
      </c>
      <c r="K357" s="4">
        <v>2009</v>
      </c>
      <c r="M357" s="5"/>
      <c r="O357" s="4">
        <v>0.13043478260869601</v>
      </c>
      <c r="P357" s="4">
        <v>0.13043478260869601</v>
      </c>
      <c r="Q357" s="4">
        <f>(P357-P356)/P356</f>
        <v>12.043478260869602</v>
      </c>
      <c r="R357" s="4">
        <v>34</v>
      </c>
      <c r="S357" s="3">
        <v>40078</v>
      </c>
      <c r="T357" s="2">
        <f>IF(N357&gt;0,1,0)</f>
        <v>0</v>
      </c>
    </row>
    <row r="358" spans="1:20" x14ac:dyDescent="0.2">
      <c r="A358" s="6">
        <v>357</v>
      </c>
      <c r="B358" s="3">
        <v>40086</v>
      </c>
      <c r="C358" s="4">
        <v>0.15675242047644</v>
      </c>
      <c r="D358" s="4">
        <v>0.17789351940154999</v>
      </c>
      <c r="E358" s="4">
        <v>188</v>
      </c>
      <c r="F358" s="4">
        <v>28</v>
      </c>
      <c r="G358" s="4">
        <v>28.380963541666599</v>
      </c>
      <c r="H358" s="4">
        <v>0.14893617021276601</v>
      </c>
      <c r="I358" s="4">
        <v>0.22727272727272699</v>
      </c>
      <c r="J358" s="4">
        <v>9</v>
      </c>
      <c r="K358" s="4">
        <v>2009</v>
      </c>
      <c r="M358" s="5"/>
      <c r="O358" s="4">
        <v>0.14893617021276601</v>
      </c>
      <c r="P358" s="4">
        <v>0.14893617021276601</v>
      </c>
      <c r="Q358" s="4">
        <f>(P358-P357)/P357</f>
        <v>0.14184397163120291</v>
      </c>
      <c r="R358" s="4">
        <v>35</v>
      </c>
      <c r="S358" s="3">
        <v>40086</v>
      </c>
      <c r="T358" s="2">
        <f>IF(N358&gt;0,1,0)</f>
        <v>0</v>
      </c>
    </row>
    <row r="359" spans="1:20" x14ac:dyDescent="0.2">
      <c r="A359" s="6">
        <v>358</v>
      </c>
      <c r="B359" s="3">
        <v>40094</v>
      </c>
      <c r="C359" s="4">
        <v>0.14993024089684101</v>
      </c>
      <c r="D359" s="4">
        <v>0.11580388372143099</v>
      </c>
      <c r="E359" s="4">
        <v>176</v>
      </c>
      <c r="F359" s="4">
        <v>40</v>
      </c>
      <c r="G359" s="4">
        <v>28.775078125</v>
      </c>
      <c r="H359" s="4">
        <v>0.22727272727272699</v>
      </c>
      <c r="I359" s="4">
        <v>5.9782608695652197E-2</v>
      </c>
      <c r="J359" s="4">
        <v>10</v>
      </c>
      <c r="K359" s="4">
        <v>2009</v>
      </c>
      <c r="M359" s="5" t="s">
        <v>3</v>
      </c>
      <c r="O359" s="4">
        <v>0.22727272727272699</v>
      </c>
      <c r="P359" s="4">
        <v>0.22727272727272699</v>
      </c>
      <c r="Q359" s="4">
        <f>(P359-P358)/P358</f>
        <v>0.52597402597402354</v>
      </c>
      <c r="R359" s="4">
        <v>36</v>
      </c>
      <c r="S359" s="3">
        <v>40094</v>
      </c>
      <c r="T359" s="2">
        <f>IF(N359&gt;0,1,0)</f>
        <v>0</v>
      </c>
    </row>
    <row r="360" spans="1:20" x14ac:dyDescent="0.2">
      <c r="A360" s="6">
        <v>359</v>
      </c>
      <c r="B360" s="3">
        <v>40102</v>
      </c>
      <c r="C360" s="4">
        <v>0.14657170873963199</v>
      </c>
      <c r="D360" s="4">
        <v>0.12775931879878</v>
      </c>
      <c r="E360" s="4">
        <v>184</v>
      </c>
      <c r="F360" s="4">
        <v>11</v>
      </c>
      <c r="G360" s="4">
        <v>28.914348958333299</v>
      </c>
      <c r="H360" s="4">
        <v>5.9782608695652197E-2</v>
      </c>
      <c r="I360" s="4">
        <v>0.28846153846153799</v>
      </c>
      <c r="J360" s="4">
        <v>10</v>
      </c>
      <c r="K360" s="4">
        <v>2009</v>
      </c>
      <c r="M360" s="5"/>
      <c r="O360" s="4">
        <v>5.9782608695652197E-2</v>
      </c>
      <c r="P360" s="4">
        <v>5.9782608695652197E-2</v>
      </c>
      <c r="Q360" s="4">
        <f>(P360-P359)/P359</f>
        <v>-0.73695652173913007</v>
      </c>
      <c r="R360" s="4">
        <v>37</v>
      </c>
      <c r="S360" s="3">
        <v>40102</v>
      </c>
      <c r="T360" s="2">
        <f>IF(N360&gt;0,1,0)</f>
        <v>0</v>
      </c>
    </row>
    <row r="361" spans="1:20" x14ac:dyDescent="0.2">
      <c r="A361" s="6">
        <v>360</v>
      </c>
      <c r="B361" s="10">
        <v>40110</v>
      </c>
      <c r="C361" s="4">
        <v>0.12501421744806099</v>
      </c>
      <c r="D361" s="4">
        <v>0.120447573562463</v>
      </c>
      <c r="E361" s="4">
        <v>156</v>
      </c>
      <c r="F361" s="4">
        <v>45</v>
      </c>
      <c r="G361" s="4">
        <v>28.859947916666599</v>
      </c>
      <c r="H361" s="4">
        <v>0.28846153846153799</v>
      </c>
      <c r="I361" s="4">
        <v>0.30240549828178698</v>
      </c>
      <c r="J361" s="4">
        <v>10</v>
      </c>
      <c r="K361" s="4">
        <v>2009</v>
      </c>
      <c r="M361" s="5"/>
      <c r="N361" s="4">
        <v>0.28846153846153799</v>
      </c>
      <c r="P361" s="4">
        <v>0.28846153846153799</v>
      </c>
      <c r="Q361" s="9">
        <f>(P361-P360)/P360</f>
        <v>3.8251748251748157</v>
      </c>
      <c r="R361" s="4">
        <v>38</v>
      </c>
      <c r="S361" s="10">
        <v>40110</v>
      </c>
      <c r="T361" s="2">
        <f>IF(N361&gt;0,1,0)</f>
        <v>1</v>
      </c>
    </row>
    <row r="362" spans="1:20" x14ac:dyDescent="0.2">
      <c r="A362" s="6">
        <v>361</v>
      </c>
      <c r="B362" s="3">
        <v>40118</v>
      </c>
      <c r="C362" s="4">
        <v>0.17806285408870201</v>
      </c>
      <c r="D362" s="4">
        <v>0.19249027371406599</v>
      </c>
      <c r="E362" s="4">
        <v>145.5</v>
      </c>
      <c r="F362" s="4">
        <v>44</v>
      </c>
      <c r="G362" s="4">
        <v>28.157447916666701</v>
      </c>
      <c r="H362" s="4">
        <v>0.30240549828178698</v>
      </c>
      <c r="I362" s="4">
        <v>0.96117122851686798</v>
      </c>
      <c r="J362" s="4">
        <v>11</v>
      </c>
      <c r="K362" s="4">
        <v>2009</v>
      </c>
      <c r="M362" s="5" t="s">
        <v>2</v>
      </c>
      <c r="N362" s="4">
        <v>0.30240549828178698</v>
      </c>
      <c r="P362" s="4">
        <v>0.30240549828178698</v>
      </c>
      <c r="Q362" s="4">
        <f>(P362-P361)/P361</f>
        <v>4.8339060710196564E-2</v>
      </c>
      <c r="R362" s="4">
        <v>39</v>
      </c>
      <c r="S362" s="3">
        <v>40118</v>
      </c>
      <c r="T362" s="2">
        <f>IF(N362&gt;0,1,0)</f>
        <v>1</v>
      </c>
    </row>
    <row r="363" spans="1:20" x14ac:dyDescent="0.2">
      <c r="A363" s="6">
        <v>362</v>
      </c>
      <c r="B363" s="3">
        <v>40126</v>
      </c>
      <c r="C363" s="4">
        <v>0.18150506824255</v>
      </c>
      <c r="D363" s="4" t="s">
        <v>0</v>
      </c>
      <c r="E363" s="4">
        <v>157.1</v>
      </c>
      <c r="F363" s="4">
        <v>151</v>
      </c>
      <c r="G363" s="4">
        <v>27.800833333333301</v>
      </c>
      <c r="H363" s="4">
        <v>0.96117122851686798</v>
      </c>
      <c r="I363" s="4">
        <v>0.70652173913043503</v>
      </c>
      <c r="J363" s="4">
        <v>11</v>
      </c>
      <c r="K363" s="4">
        <v>2009</v>
      </c>
      <c r="M363" s="5"/>
      <c r="N363" s="4">
        <v>0.96117122851686798</v>
      </c>
      <c r="P363" s="4">
        <v>0.96117122851686798</v>
      </c>
      <c r="Q363" s="4">
        <f>(P363-P362)/P362</f>
        <v>2.178418494300097</v>
      </c>
      <c r="R363" s="4">
        <v>40</v>
      </c>
      <c r="S363" s="7">
        <v>40126</v>
      </c>
      <c r="T363" s="2">
        <f>IF(N363&gt;0,1,0)</f>
        <v>1</v>
      </c>
    </row>
    <row r="364" spans="1:20" x14ac:dyDescent="0.2">
      <c r="A364" s="6">
        <v>363</v>
      </c>
      <c r="B364" s="3">
        <v>40134</v>
      </c>
      <c r="C364" s="4">
        <v>0.205209767840204</v>
      </c>
      <c r="D364" s="4">
        <v>0.16902444760004701</v>
      </c>
      <c r="E364" s="4">
        <v>184</v>
      </c>
      <c r="F364" s="4">
        <v>130</v>
      </c>
      <c r="G364" s="4">
        <v>28.0833072916666</v>
      </c>
      <c r="H364" s="4">
        <v>0.70652173913043503</v>
      </c>
      <c r="I364" s="4">
        <v>0.28191489361702099</v>
      </c>
      <c r="J364" s="4">
        <v>11</v>
      </c>
      <c r="K364" s="4">
        <v>2009</v>
      </c>
      <c r="M364" s="5"/>
      <c r="O364" s="4">
        <v>0.70652173913043503</v>
      </c>
      <c r="P364" s="4">
        <v>0.70652173913043503</v>
      </c>
      <c r="Q364" s="8">
        <f>(P364-P363)/P363</f>
        <v>-0.26493665418946111</v>
      </c>
      <c r="R364" s="4">
        <v>41</v>
      </c>
      <c r="S364" s="3">
        <v>40134</v>
      </c>
      <c r="T364" s="2">
        <f>IF(N364&gt;0,1,0)</f>
        <v>0</v>
      </c>
    </row>
    <row r="365" spans="1:20" x14ac:dyDescent="0.2">
      <c r="A365" s="6">
        <v>364</v>
      </c>
      <c r="B365" s="3">
        <v>40142</v>
      </c>
      <c r="C365" s="4">
        <v>0.16596530610695501</v>
      </c>
      <c r="D365" s="4">
        <v>0.13434983789920801</v>
      </c>
      <c r="E365" s="4">
        <v>188</v>
      </c>
      <c r="F365" s="4">
        <v>53</v>
      </c>
      <c r="G365" s="4">
        <v>28.758984375000001</v>
      </c>
      <c r="H365" s="4">
        <v>0.28191489361702099</v>
      </c>
      <c r="I365" s="4">
        <v>0.84574468085106402</v>
      </c>
      <c r="J365" s="4">
        <v>11</v>
      </c>
      <c r="K365" s="4">
        <v>2009</v>
      </c>
      <c r="M365" s="5"/>
      <c r="O365" s="4">
        <v>0.28191489361702099</v>
      </c>
      <c r="P365" s="4">
        <v>0.28191489361702099</v>
      </c>
      <c r="Q365" s="4">
        <f>(P365-P364)/P364</f>
        <v>-0.60098199672667818</v>
      </c>
      <c r="R365" s="4">
        <v>42</v>
      </c>
      <c r="S365" s="3">
        <v>40142</v>
      </c>
      <c r="T365" s="2">
        <f>IF(N365&gt;0,1,0)</f>
        <v>0</v>
      </c>
    </row>
    <row r="366" spans="1:20" x14ac:dyDescent="0.2">
      <c r="A366" s="6">
        <v>365</v>
      </c>
      <c r="B366" s="3">
        <v>40150</v>
      </c>
      <c r="C366" s="4">
        <v>0.246712921187282</v>
      </c>
      <c r="D366" s="4">
        <v>0.27347967773675902</v>
      </c>
      <c r="E366" s="4">
        <v>188</v>
      </c>
      <c r="F366" s="4">
        <v>159</v>
      </c>
      <c r="G366" s="4">
        <v>28.8672135416667</v>
      </c>
      <c r="H366" s="4">
        <v>0.84574468085106402</v>
      </c>
      <c r="I366" s="4">
        <v>1</v>
      </c>
      <c r="J366" s="4">
        <v>12</v>
      </c>
      <c r="K366" s="4">
        <v>2009</v>
      </c>
      <c r="M366" s="5" t="s">
        <v>1</v>
      </c>
      <c r="N366" s="4">
        <v>0.84574468085106402</v>
      </c>
      <c r="P366" s="8">
        <v>0.84574468085106402</v>
      </c>
      <c r="Q366" s="4">
        <f>(P366-P365)/P365</f>
        <v>2.0000000000000036</v>
      </c>
      <c r="R366" s="4">
        <v>43</v>
      </c>
      <c r="S366" s="7">
        <v>40150</v>
      </c>
      <c r="T366" s="2">
        <f>IF(N366&gt;0,1,0)</f>
        <v>1</v>
      </c>
    </row>
    <row r="367" spans="1:20" x14ac:dyDescent="0.2">
      <c r="A367" s="6">
        <v>366</v>
      </c>
      <c r="B367" s="3">
        <v>40158</v>
      </c>
      <c r="C367" s="4">
        <v>0.180849736039009</v>
      </c>
      <c r="D367" s="4">
        <v>0.17183829098939901</v>
      </c>
      <c r="E367" s="4">
        <v>192</v>
      </c>
      <c r="F367" s="4">
        <v>192</v>
      </c>
      <c r="G367" s="4">
        <v>28.9347395833333</v>
      </c>
      <c r="H367" s="4">
        <v>1</v>
      </c>
      <c r="I367" s="4">
        <v>1</v>
      </c>
      <c r="J367" s="4">
        <v>12</v>
      </c>
      <c r="K367" s="4">
        <v>2009</v>
      </c>
      <c r="M367" s="5"/>
      <c r="N367" s="4">
        <v>1</v>
      </c>
      <c r="P367" s="4">
        <v>1</v>
      </c>
      <c r="Q367" s="4">
        <f>(P367-P366)/P366</f>
        <v>0.18238993710691798</v>
      </c>
      <c r="R367" s="4">
        <v>44</v>
      </c>
      <c r="S367" s="3">
        <v>40158</v>
      </c>
      <c r="T367" s="2">
        <f>IF(N367&gt;0,1,0)</f>
        <v>1</v>
      </c>
    </row>
    <row r="368" spans="1:20" x14ac:dyDescent="0.2">
      <c r="A368" s="6">
        <v>367</v>
      </c>
      <c r="B368" s="3">
        <v>40166</v>
      </c>
      <c r="C368" s="4">
        <v>0.160490835205682</v>
      </c>
      <c r="D368" s="4">
        <v>0.152879570921262</v>
      </c>
      <c r="E368" s="4">
        <v>180</v>
      </c>
      <c r="F368" s="4">
        <v>180</v>
      </c>
      <c r="G368" s="4">
        <v>28.948515624999999</v>
      </c>
      <c r="H368" s="4">
        <v>1</v>
      </c>
      <c r="I368" s="4">
        <v>0.97413793103448298</v>
      </c>
      <c r="J368" s="4">
        <v>12</v>
      </c>
      <c r="K368" s="4">
        <v>2009</v>
      </c>
      <c r="M368" s="5"/>
      <c r="N368" s="4">
        <v>1</v>
      </c>
      <c r="P368" s="4">
        <v>1</v>
      </c>
      <c r="Q368" s="4">
        <f>(P368-P367)/P367</f>
        <v>0</v>
      </c>
      <c r="R368" s="4">
        <v>45</v>
      </c>
      <c r="S368" s="3">
        <v>40166</v>
      </c>
      <c r="T368" s="2">
        <f>IF(N368&gt;0,1,0)</f>
        <v>1</v>
      </c>
    </row>
    <row r="369" spans="1:20" x14ac:dyDescent="0.2">
      <c r="A369" s="6">
        <v>368</v>
      </c>
      <c r="B369" s="3">
        <v>40174</v>
      </c>
      <c r="C369" s="4">
        <v>0.21260732126236001</v>
      </c>
      <c r="D369" s="4">
        <v>0.19456148395935699</v>
      </c>
      <c r="E369" s="4">
        <v>116</v>
      </c>
      <c r="F369" s="4">
        <v>113</v>
      </c>
      <c r="G369" s="4">
        <v>28.513833333333299</v>
      </c>
      <c r="H369" s="4">
        <v>0.97413793103448298</v>
      </c>
      <c r="I369" s="4">
        <v>0.659574468085106</v>
      </c>
      <c r="J369" s="4">
        <v>12</v>
      </c>
      <c r="K369" s="4">
        <v>2009</v>
      </c>
      <c r="M369" s="5"/>
      <c r="N369" s="4">
        <v>0.97413793103448298</v>
      </c>
      <c r="P369" s="4">
        <v>0.97413793103448298</v>
      </c>
      <c r="Q369" s="4">
        <f>(P369-P368)/P368</f>
        <v>-2.5862068965517016E-2</v>
      </c>
      <c r="R369" s="4">
        <v>46</v>
      </c>
      <c r="S369" s="3">
        <v>40174</v>
      </c>
      <c r="T369" s="2">
        <f>IF(N369&gt;0,1,0)</f>
        <v>1</v>
      </c>
    </row>
    <row r="370" spans="1:20" x14ac:dyDescent="0.2">
      <c r="A370" s="6">
        <v>369</v>
      </c>
      <c r="B370" s="3">
        <v>40179</v>
      </c>
      <c r="C370" s="4">
        <v>0.16616535790202999</v>
      </c>
      <c r="D370" s="4">
        <v>0.13435800373554199</v>
      </c>
      <c r="E370" s="4">
        <v>188</v>
      </c>
      <c r="F370" s="4">
        <v>124</v>
      </c>
      <c r="G370" s="4">
        <v>28.114401041666699</v>
      </c>
      <c r="H370" s="4">
        <v>0.659574468085106</v>
      </c>
      <c r="I370" s="4">
        <v>0.19262520638415001</v>
      </c>
      <c r="J370" s="4">
        <v>1</v>
      </c>
      <c r="K370" s="4">
        <v>2010</v>
      </c>
      <c r="L370">
        <v>2010</v>
      </c>
      <c r="M370" s="11" t="s">
        <v>12</v>
      </c>
      <c r="N370" s="4">
        <v>0.659574468085106</v>
      </c>
      <c r="P370" s="4">
        <v>0.659574468085106</v>
      </c>
      <c r="Q370" s="4">
        <f>(P370-P369)/P369</f>
        <v>-0.32291470532856392</v>
      </c>
      <c r="R370" s="4">
        <v>1</v>
      </c>
      <c r="S370" s="3">
        <v>40179</v>
      </c>
      <c r="T370" s="2">
        <f>IF(N370&gt;0,1,0)</f>
        <v>1</v>
      </c>
    </row>
    <row r="371" spans="1:20" x14ac:dyDescent="0.2">
      <c r="A371" s="6">
        <v>370</v>
      </c>
      <c r="B371" s="3">
        <v>40187</v>
      </c>
      <c r="C371" s="4">
        <v>0.147476661402513</v>
      </c>
      <c r="D371" s="4">
        <v>0.125546050568422</v>
      </c>
      <c r="E371" s="4">
        <v>181.7</v>
      </c>
      <c r="F371" s="4">
        <v>35</v>
      </c>
      <c r="G371" s="4">
        <v>28.389244791666702</v>
      </c>
      <c r="H371" s="4">
        <v>0.19262520638415001</v>
      </c>
      <c r="I371" s="4">
        <v>0.207667731629393</v>
      </c>
      <c r="J371" s="4">
        <v>1</v>
      </c>
      <c r="K371" s="4">
        <v>2010</v>
      </c>
      <c r="M371" s="11"/>
      <c r="N371" s="4">
        <v>0.19262520638415001</v>
      </c>
      <c r="P371" s="4">
        <v>0.19262520638415001</v>
      </c>
      <c r="Q371" s="4">
        <f>(P371-P370)/P370</f>
        <v>-0.70795533225628848</v>
      </c>
      <c r="R371" s="4">
        <v>2</v>
      </c>
      <c r="S371" s="3">
        <v>40187</v>
      </c>
      <c r="T371" s="2">
        <f>IF(N371&gt;0,1,0)</f>
        <v>1</v>
      </c>
    </row>
    <row r="372" spans="1:20" x14ac:dyDescent="0.2">
      <c r="A372" s="6">
        <v>371</v>
      </c>
      <c r="B372" s="10">
        <v>40195</v>
      </c>
      <c r="C372" s="4">
        <v>0.12582562465898001</v>
      </c>
      <c r="D372" s="4">
        <v>0.111048157513142</v>
      </c>
      <c r="E372" s="4">
        <v>187.8</v>
      </c>
      <c r="F372" s="4">
        <v>39</v>
      </c>
      <c r="G372" s="4">
        <v>28.554739583333301</v>
      </c>
      <c r="H372" s="4">
        <v>0.207667731629393</v>
      </c>
      <c r="I372" s="4">
        <v>5.2083333333333296E-3</v>
      </c>
      <c r="J372" s="4">
        <v>1</v>
      </c>
      <c r="K372" s="4">
        <v>2010</v>
      </c>
      <c r="M372" s="11"/>
      <c r="N372" s="4">
        <v>0.207667731629393</v>
      </c>
      <c r="P372" s="4">
        <v>0.207667731629393</v>
      </c>
      <c r="Q372" s="4">
        <f>(P372-P371)/P371</f>
        <v>7.8092195344589929E-2</v>
      </c>
      <c r="R372" s="4">
        <v>3</v>
      </c>
      <c r="S372" s="10">
        <v>40195</v>
      </c>
      <c r="T372" s="2">
        <f>IF(N372&gt;0,1,0)</f>
        <v>1</v>
      </c>
    </row>
    <row r="373" spans="1:20" x14ac:dyDescent="0.2">
      <c r="A373" s="6">
        <v>372</v>
      </c>
      <c r="B373" s="3">
        <v>40203</v>
      </c>
      <c r="C373" s="4">
        <v>0.12193984634035999</v>
      </c>
      <c r="D373" s="4">
        <v>0.101267884174983</v>
      </c>
      <c r="E373" s="4">
        <v>192</v>
      </c>
      <c r="F373" s="4">
        <v>1</v>
      </c>
      <c r="G373" s="4">
        <v>28.7685416666667</v>
      </c>
      <c r="H373" s="4">
        <v>5.2083333333333296E-3</v>
      </c>
      <c r="I373" s="4">
        <v>0.14583333333333301</v>
      </c>
      <c r="J373" s="4">
        <v>1</v>
      </c>
      <c r="K373" s="4">
        <v>2010</v>
      </c>
      <c r="M373" s="11"/>
      <c r="O373" s="4">
        <v>5.2083333333333296E-3</v>
      </c>
      <c r="P373" s="4">
        <v>5.2083333333333296E-3</v>
      </c>
      <c r="Q373" s="9">
        <f>(P373-P372)/P372</f>
        <v>-0.97491987179487172</v>
      </c>
      <c r="R373" s="4">
        <v>4</v>
      </c>
      <c r="S373" s="3">
        <v>40203</v>
      </c>
      <c r="T373" s="2">
        <f>IF(N373&gt;0,1,0)</f>
        <v>0</v>
      </c>
    </row>
    <row r="374" spans="1:20" x14ac:dyDescent="0.2">
      <c r="A374" s="6">
        <v>373</v>
      </c>
      <c r="B374" s="3">
        <v>40211</v>
      </c>
      <c r="C374" s="4">
        <v>0.10643197937558101</v>
      </c>
      <c r="D374" s="4">
        <v>0.10047335301836301</v>
      </c>
      <c r="E374" s="4">
        <v>192</v>
      </c>
      <c r="F374" s="4">
        <v>28</v>
      </c>
      <c r="G374" s="4">
        <v>29.120260416666699</v>
      </c>
      <c r="H374" s="4">
        <v>0.14583333333333301</v>
      </c>
      <c r="I374" s="4">
        <v>0.17708333333333301</v>
      </c>
      <c r="J374" s="4">
        <v>2</v>
      </c>
      <c r="K374" s="4">
        <v>2010</v>
      </c>
      <c r="M374" s="11" t="s">
        <v>11</v>
      </c>
      <c r="O374" s="4">
        <v>0.14583333333333301</v>
      </c>
      <c r="P374" s="4">
        <v>0.14583333333333301</v>
      </c>
      <c r="Q374" s="4">
        <f>(P374-P373)/P373</f>
        <v>26.999999999999954</v>
      </c>
      <c r="R374" s="4">
        <v>5</v>
      </c>
      <c r="S374" s="3">
        <v>40211</v>
      </c>
      <c r="T374" s="2">
        <f>IF(N374&gt;0,1,0)</f>
        <v>0</v>
      </c>
    </row>
    <row r="375" spans="1:20" x14ac:dyDescent="0.2">
      <c r="A375" s="6">
        <v>374</v>
      </c>
      <c r="B375" s="3">
        <v>40219</v>
      </c>
      <c r="C375" s="4">
        <v>0.119855305501099</v>
      </c>
      <c r="D375" s="4">
        <v>0.106093443930149</v>
      </c>
      <c r="E375" s="4">
        <v>192</v>
      </c>
      <c r="F375" s="4">
        <v>34</v>
      </c>
      <c r="G375" s="4">
        <v>29.255104166666701</v>
      </c>
      <c r="H375" s="4">
        <v>0.17708333333333301</v>
      </c>
      <c r="I375" s="4">
        <v>0.58854166666666696</v>
      </c>
      <c r="J375" s="4">
        <v>2</v>
      </c>
      <c r="K375" s="4">
        <v>2010</v>
      </c>
      <c r="M375" s="11"/>
      <c r="O375" s="4">
        <v>0.17708333333333301</v>
      </c>
      <c r="P375" s="4">
        <v>0.17708333333333301</v>
      </c>
      <c r="Q375" s="4">
        <f>(P375-P374)/P374</f>
        <v>0.21428571428571477</v>
      </c>
      <c r="R375" s="4">
        <v>6</v>
      </c>
      <c r="S375" s="3">
        <v>40219</v>
      </c>
      <c r="T375" s="2">
        <f>IF(N375&gt;0,1,0)</f>
        <v>0</v>
      </c>
    </row>
    <row r="376" spans="1:20" x14ac:dyDescent="0.2">
      <c r="A376" s="6">
        <v>375</v>
      </c>
      <c r="B376" s="10">
        <v>40227</v>
      </c>
      <c r="C376" s="4">
        <v>0.159453471856458</v>
      </c>
      <c r="D376" s="4">
        <v>0.14135274787743901</v>
      </c>
      <c r="E376" s="4">
        <v>192</v>
      </c>
      <c r="F376" s="4">
        <v>113</v>
      </c>
      <c r="G376" s="4">
        <v>29.456927083333301</v>
      </c>
      <c r="H376" s="4">
        <v>0.58854166666666696</v>
      </c>
      <c r="I376" s="4">
        <v>0.98958333333333304</v>
      </c>
      <c r="J376" s="4">
        <v>2</v>
      </c>
      <c r="K376" s="4">
        <v>2010</v>
      </c>
      <c r="M376" s="11"/>
      <c r="N376" s="4">
        <v>0.58854166666666696</v>
      </c>
      <c r="P376" s="4">
        <v>0.58854166666666696</v>
      </c>
      <c r="Q376" s="9">
        <f>(P376-P375)/P375</f>
        <v>2.3235294117647136</v>
      </c>
      <c r="R376" s="4">
        <v>7</v>
      </c>
      <c r="S376" s="10">
        <v>40227</v>
      </c>
      <c r="T376" s="2">
        <f>IF(N376&gt;0,1,0)</f>
        <v>1</v>
      </c>
    </row>
    <row r="377" spans="1:20" x14ac:dyDescent="0.2">
      <c r="A377" s="6">
        <v>376</v>
      </c>
      <c r="B377" s="3">
        <v>40235</v>
      </c>
      <c r="C377" s="4">
        <v>0.13266890066572401</v>
      </c>
      <c r="D377" s="4">
        <v>0.106576508531968</v>
      </c>
      <c r="E377" s="4">
        <v>192</v>
      </c>
      <c r="F377" s="4">
        <v>190</v>
      </c>
      <c r="G377" s="4">
        <v>29.588020833333299</v>
      </c>
      <c r="H377" s="4">
        <v>0.98958333333333304</v>
      </c>
      <c r="I377" s="4">
        <v>0.43229166666666702</v>
      </c>
      <c r="J377" s="4">
        <v>2</v>
      </c>
      <c r="K377" s="4">
        <v>2010</v>
      </c>
      <c r="M377" s="11"/>
      <c r="N377" s="4">
        <v>0.98958333333333304</v>
      </c>
      <c r="P377" s="4">
        <v>0.98958333333333304</v>
      </c>
      <c r="Q377" s="4">
        <f>(P377-P376)/P376</f>
        <v>0.68141592920353844</v>
      </c>
      <c r="R377" s="4">
        <v>8</v>
      </c>
      <c r="S377" s="3">
        <v>40235</v>
      </c>
      <c r="T377" s="2">
        <f>IF(N377&gt;0,1,0)</f>
        <v>1</v>
      </c>
    </row>
    <row r="378" spans="1:20" x14ac:dyDescent="0.2">
      <c r="A378" s="6">
        <v>377</v>
      </c>
      <c r="B378" s="10">
        <v>40243</v>
      </c>
      <c r="C378" s="4">
        <v>0.13708587208141901</v>
      </c>
      <c r="D378" s="4">
        <v>0.136307959755262</v>
      </c>
      <c r="E378" s="4">
        <v>192</v>
      </c>
      <c r="F378" s="4">
        <v>83</v>
      </c>
      <c r="G378" s="4">
        <v>29.820520833333301</v>
      </c>
      <c r="H378" s="4">
        <v>0.43229166666666702</v>
      </c>
      <c r="I378" s="4">
        <v>1.09829763866008E-2</v>
      </c>
      <c r="J378" s="4">
        <v>3</v>
      </c>
      <c r="K378" s="4">
        <v>2010</v>
      </c>
      <c r="M378" s="11" t="s">
        <v>10</v>
      </c>
      <c r="N378" s="4">
        <v>0.43229166666666702</v>
      </c>
      <c r="P378" s="4">
        <v>0.43229166666666702</v>
      </c>
      <c r="Q378" s="4">
        <f>(P378-P377)/P377</f>
        <v>-0.56315789473684164</v>
      </c>
      <c r="R378" s="4">
        <v>9</v>
      </c>
      <c r="S378" s="10">
        <v>40243</v>
      </c>
      <c r="T378" s="2">
        <f>IF(N378&gt;0,1,0)</f>
        <v>1</v>
      </c>
    </row>
    <row r="379" spans="1:20" x14ac:dyDescent="0.2">
      <c r="A379" s="6">
        <v>378</v>
      </c>
      <c r="B379" s="3">
        <v>40251</v>
      </c>
      <c r="C379" s="4">
        <v>0.118900791897128</v>
      </c>
      <c r="D379" s="4">
        <v>0.11268471305569</v>
      </c>
      <c r="E379" s="4">
        <v>182.1</v>
      </c>
      <c r="F379" s="4">
        <v>2</v>
      </c>
      <c r="G379" s="4">
        <v>30.100781250000001</v>
      </c>
      <c r="H379" s="4">
        <v>1.09829763866008E-2</v>
      </c>
      <c r="I379" s="4">
        <v>1.59829515183804E-2</v>
      </c>
      <c r="J379" s="4">
        <v>3</v>
      </c>
      <c r="K379" s="4">
        <v>2010</v>
      </c>
      <c r="M379" s="11"/>
      <c r="O379" s="4">
        <v>1.09829763866008E-2</v>
      </c>
      <c r="P379" s="4">
        <v>1.09829763866008E-2</v>
      </c>
      <c r="Q379" s="9">
        <f>(P379-P378)/P378</f>
        <v>-0.97459359679244162</v>
      </c>
      <c r="R379" s="4">
        <v>10</v>
      </c>
      <c r="S379" s="3">
        <v>40251</v>
      </c>
      <c r="T379" s="2">
        <f>IF(N379&gt;0,1,0)</f>
        <v>0</v>
      </c>
    </row>
    <row r="380" spans="1:20" x14ac:dyDescent="0.2">
      <c r="A380" s="6">
        <v>379</v>
      </c>
      <c r="B380" s="3">
        <v>40259</v>
      </c>
      <c r="C380" s="4">
        <v>0.110793604173212</v>
      </c>
      <c r="D380" s="4">
        <v>0.10996508598327601</v>
      </c>
      <c r="E380" s="4">
        <v>187.7</v>
      </c>
      <c r="F380" s="4">
        <v>3</v>
      </c>
      <c r="G380" s="4">
        <v>30.079843749999998</v>
      </c>
      <c r="H380" s="4">
        <v>1.59829515183804E-2</v>
      </c>
      <c r="I380" s="4">
        <v>0.109375</v>
      </c>
      <c r="J380" s="4">
        <v>3</v>
      </c>
      <c r="K380" s="4">
        <v>2010</v>
      </c>
      <c r="M380" s="11"/>
      <c r="O380" s="4">
        <v>1.59829515183804E-2</v>
      </c>
      <c r="P380" s="4">
        <v>1.59829515183804E-2</v>
      </c>
      <c r="Q380" s="4">
        <f>(P380-P379)/P379</f>
        <v>0.45524773574853122</v>
      </c>
      <c r="R380" s="4">
        <v>11</v>
      </c>
      <c r="S380" s="3">
        <v>40259</v>
      </c>
      <c r="T380" s="2">
        <f>IF(N380&gt;0,1,0)</f>
        <v>0</v>
      </c>
    </row>
    <row r="381" spans="1:20" x14ac:dyDescent="0.2">
      <c r="A381" s="6">
        <v>380</v>
      </c>
      <c r="B381" s="3">
        <v>40267</v>
      </c>
      <c r="C381" s="4">
        <v>0.10442759251842899</v>
      </c>
      <c r="D381" s="4">
        <v>8.2877725362777696E-2</v>
      </c>
      <c r="E381" s="4">
        <v>192</v>
      </c>
      <c r="F381" s="4">
        <v>21</v>
      </c>
      <c r="G381" s="4">
        <v>30.267890625</v>
      </c>
      <c r="H381" s="4">
        <v>0.109375</v>
      </c>
      <c r="I381" s="4">
        <v>1.0416666666666701E-2</v>
      </c>
      <c r="J381" s="4">
        <v>3</v>
      </c>
      <c r="K381" s="4">
        <v>2010</v>
      </c>
      <c r="M381" s="11"/>
      <c r="O381" s="4">
        <v>0.109375</v>
      </c>
      <c r="P381" s="4">
        <v>0.109375</v>
      </c>
      <c r="Q381" s="4">
        <f>(P381-P380)/P380</f>
        <v>5.8432291666666645</v>
      </c>
      <c r="R381" s="4">
        <v>12</v>
      </c>
      <c r="S381" s="3">
        <v>40267</v>
      </c>
      <c r="T381" s="2">
        <f>IF(N381&gt;0,1,0)</f>
        <v>0</v>
      </c>
    </row>
    <row r="382" spans="1:20" x14ac:dyDescent="0.2">
      <c r="A382" s="6">
        <v>381</v>
      </c>
      <c r="B382" s="3">
        <v>40275</v>
      </c>
      <c r="C382" s="4">
        <v>9.9187655995289503E-2</v>
      </c>
      <c r="D382" s="4">
        <v>7.7683596561352403E-2</v>
      </c>
      <c r="E382" s="4">
        <v>192</v>
      </c>
      <c r="F382" s="4">
        <v>2</v>
      </c>
      <c r="G382" s="4">
        <v>30.311796874999999</v>
      </c>
      <c r="H382" s="4">
        <v>1.0416666666666701E-2</v>
      </c>
      <c r="I382" s="4">
        <v>5.2083333333333296E-3</v>
      </c>
      <c r="J382" s="4">
        <v>4</v>
      </c>
      <c r="K382" s="4">
        <v>2010</v>
      </c>
      <c r="M382" s="11" t="s">
        <v>9</v>
      </c>
      <c r="O382" s="4">
        <v>1.0416666666666701E-2</v>
      </c>
      <c r="P382" s="4">
        <v>1.0416666666666701E-2</v>
      </c>
      <c r="Q382" s="4">
        <f>(P382-P381)/P381</f>
        <v>-0.90476190476190443</v>
      </c>
      <c r="R382" s="4">
        <v>13</v>
      </c>
      <c r="S382" s="3">
        <v>40275</v>
      </c>
      <c r="T382" s="2">
        <f>IF(N382&gt;0,1,0)</f>
        <v>0</v>
      </c>
    </row>
    <row r="383" spans="1:20" x14ac:dyDescent="0.2">
      <c r="A383" s="6">
        <v>382</v>
      </c>
      <c r="B383" s="3">
        <v>40283</v>
      </c>
      <c r="C383" s="4">
        <v>0.12290054057828299</v>
      </c>
      <c r="D383" s="4">
        <v>0.106650066872438</v>
      </c>
      <c r="E383" s="4">
        <v>192</v>
      </c>
      <c r="F383" s="4">
        <v>1</v>
      </c>
      <c r="G383" s="4">
        <v>29.813671875000001</v>
      </c>
      <c r="H383" s="4">
        <v>5.2083333333333296E-3</v>
      </c>
      <c r="I383" s="4">
        <v>0.109375</v>
      </c>
      <c r="J383" s="4">
        <v>4</v>
      </c>
      <c r="K383" s="4">
        <v>2010</v>
      </c>
      <c r="M383" s="11"/>
      <c r="O383" s="4">
        <v>5.2083333333333296E-3</v>
      </c>
      <c r="P383" s="4">
        <v>5.2083333333333296E-3</v>
      </c>
      <c r="Q383" s="4">
        <f>(P383-P382)/P382</f>
        <v>-0.500000000000002</v>
      </c>
      <c r="R383" s="4">
        <v>14</v>
      </c>
      <c r="S383" s="3">
        <v>40283</v>
      </c>
      <c r="T383" s="2">
        <f>IF(N383&gt;0,1,0)</f>
        <v>0</v>
      </c>
    </row>
    <row r="384" spans="1:20" x14ac:dyDescent="0.2">
      <c r="A384" s="6">
        <v>383</v>
      </c>
      <c r="B384" s="3">
        <v>40291</v>
      </c>
      <c r="C384" s="4">
        <v>0.180541545463105</v>
      </c>
      <c r="D384" s="4">
        <v>0.173924314479033</v>
      </c>
      <c r="E384" s="4">
        <v>192</v>
      </c>
      <c r="F384" s="4">
        <v>21</v>
      </c>
      <c r="G384" s="4">
        <v>28.955442708333301</v>
      </c>
      <c r="H384" s="4">
        <v>0.109375</v>
      </c>
      <c r="I384" s="4" t="s">
        <v>0</v>
      </c>
      <c r="J384" s="4">
        <v>4</v>
      </c>
      <c r="K384" s="4">
        <v>2010</v>
      </c>
      <c r="M384" s="11"/>
      <c r="O384" s="4">
        <v>0.109375</v>
      </c>
      <c r="P384" s="4">
        <v>0.109375</v>
      </c>
      <c r="Q384" s="4">
        <f>(P384-P383)/P383</f>
        <v>20.000000000000014</v>
      </c>
      <c r="R384" s="4">
        <v>15</v>
      </c>
      <c r="S384" s="3">
        <v>40291</v>
      </c>
      <c r="T384" s="2">
        <f>IF(N384&gt;0,1,0)</f>
        <v>0</v>
      </c>
    </row>
    <row r="385" spans="1:20" x14ac:dyDescent="0.2">
      <c r="A385" s="6">
        <v>384</v>
      </c>
      <c r="B385" s="3">
        <v>40299</v>
      </c>
      <c r="C385" s="4">
        <v>0.17310785968526701</v>
      </c>
      <c r="D385" s="4">
        <v>0.16970886041720701</v>
      </c>
      <c r="E385" s="4">
        <v>48.4</v>
      </c>
      <c r="F385" s="4">
        <v>30</v>
      </c>
      <c r="G385" s="4">
        <v>28.648802083333301</v>
      </c>
      <c r="H385" s="4" t="s">
        <v>0</v>
      </c>
      <c r="I385" s="4">
        <v>0.219546742209632</v>
      </c>
      <c r="J385" s="4">
        <v>5</v>
      </c>
      <c r="K385" s="4">
        <v>2010</v>
      </c>
      <c r="M385" s="11" t="s">
        <v>8</v>
      </c>
      <c r="O385" s="4">
        <v>0</v>
      </c>
      <c r="P385" s="4">
        <v>0</v>
      </c>
      <c r="Q385" s="4">
        <f>(P385-P384)/P384</f>
        <v>-1</v>
      </c>
      <c r="R385" s="4">
        <v>16</v>
      </c>
      <c r="S385" s="3">
        <v>40299</v>
      </c>
      <c r="T385" s="2">
        <f>IF(N385&gt;0,1,0)</f>
        <v>0</v>
      </c>
    </row>
    <row r="386" spans="1:20" x14ac:dyDescent="0.2">
      <c r="A386" s="6">
        <v>385</v>
      </c>
      <c r="B386" s="3">
        <v>40307</v>
      </c>
      <c r="C386" s="4">
        <v>0.23268261394450401</v>
      </c>
      <c r="D386" s="4">
        <v>0.23702966918547899</v>
      </c>
      <c r="E386" s="4">
        <v>141.19999999999999</v>
      </c>
      <c r="F386" s="4">
        <v>31</v>
      </c>
      <c r="G386" s="4">
        <v>28.634973958333401</v>
      </c>
      <c r="H386" s="4">
        <v>0.219546742209632</v>
      </c>
      <c r="I386" s="4">
        <v>0.171875</v>
      </c>
      <c r="J386" s="4">
        <v>5</v>
      </c>
      <c r="K386" s="4">
        <v>2010</v>
      </c>
      <c r="M386" s="11"/>
      <c r="O386" s="4">
        <v>0.219546742209632</v>
      </c>
      <c r="P386" s="4">
        <v>0.219546742209632</v>
      </c>
      <c r="Q386" s="4" t="e">
        <f>(P386-P385)/P385</f>
        <v>#DIV/0!</v>
      </c>
      <c r="R386" s="4">
        <v>17</v>
      </c>
      <c r="S386" s="3">
        <v>40307</v>
      </c>
      <c r="T386" s="2">
        <f>IF(N386&gt;0,1,0)</f>
        <v>0</v>
      </c>
    </row>
    <row r="387" spans="1:20" x14ac:dyDescent="0.2">
      <c r="A387" s="6">
        <v>386</v>
      </c>
      <c r="B387" s="3">
        <v>40315</v>
      </c>
      <c r="C387" s="4">
        <v>0.191853976498048</v>
      </c>
      <c r="D387" s="4">
        <v>0.17623542249202701</v>
      </c>
      <c r="E387" s="4">
        <v>192</v>
      </c>
      <c r="F387" s="4">
        <v>33</v>
      </c>
      <c r="G387" s="4">
        <v>28.265833333333301</v>
      </c>
      <c r="H387" s="4">
        <v>0.171875</v>
      </c>
      <c r="I387" s="4">
        <v>0.84895833333333304</v>
      </c>
      <c r="J387" s="4">
        <v>5</v>
      </c>
      <c r="K387" s="4">
        <v>2010</v>
      </c>
      <c r="M387" s="11"/>
      <c r="O387" s="4">
        <v>0.171875</v>
      </c>
      <c r="P387" s="4">
        <v>0.171875</v>
      </c>
      <c r="Q387" s="4">
        <f>(P387-P386)/P386</f>
        <v>-0.21713709677419449</v>
      </c>
      <c r="R387" s="4">
        <v>18</v>
      </c>
      <c r="S387" s="3">
        <v>40315</v>
      </c>
      <c r="T387" s="2">
        <f>IF(N387&gt;0,1,0)</f>
        <v>0</v>
      </c>
    </row>
    <row r="388" spans="1:20" x14ac:dyDescent="0.2">
      <c r="A388" s="6">
        <v>387</v>
      </c>
      <c r="B388" s="3">
        <v>40323</v>
      </c>
      <c r="C388" s="4">
        <v>0.24685314245935899</v>
      </c>
      <c r="D388" s="4">
        <v>0.20219444980223999</v>
      </c>
      <c r="E388" s="4">
        <v>192</v>
      </c>
      <c r="F388" s="4">
        <v>163</v>
      </c>
      <c r="G388" s="4">
        <v>28.094765625000001</v>
      </c>
      <c r="H388" s="4">
        <v>0.84895833333333304</v>
      </c>
      <c r="I388" s="4">
        <v>0.5</v>
      </c>
      <c r="J388" s="4">
        <v>5</v>
      </c>
      <c r="K388" s="4">
        <v>2010</v>
      </c>
      <c r="M388" s="11"/>
      <c r="O388" s="4">
        <v>0.84895833333333304</v>
      </c>
      <c r="P388" s="4">
        <v>0.84895833333333304</v>
      </c>
      <c r="Q388" s="4">
        <f>(P388-P387)/P387</f>
        <v>3.9393939393939377</v>
      </c>
      <c r="R388" s="4">
        <v>19</v>
      </c>
      <c r="S388" s="3">
        <v>40323</v>
      </c>
      <c r="T388" s="2">
        <f>IF(N388&gt;0,1,0)</f>
        <v>0</v>
      </c>
    </row>
    <row r="389" spans="1:20" x14ac:dyDescent="0.2">
      <c r="A389" s="6">
        <v>388</v>
      </c>
      <c r="B389" s="3">
        <v>40331</v>
      </c>
      <c r="C389" s="4">
        <v>0.22579948334158301</v>
      </c>
      <c r="D389" s="4">
        <v>0.16853231439987801</v>
      </c>
      <c r="E389" s="4">
        <v>192</v>
      </c>
      <c r="F389" s="4">
        <v>96</v>
      </c>
      <c r="G389" s="4">
        <v>27.992916666666702</v>
      </c>
      <c r="H389" s="4">
        <v>0.5</v>
      </c>
      <c r="I389" s="4">
        <v>0.39082855653986398</v>
      </c>
      <c r="J389" s="4">
        <v>6</v>
      </c>
      <c r="K389" s="4">
        <v>2010</v>
      </c>
      <c r="M389" s="11" t="s">
        <v>7</v>
      </c>
      <c r="O389" s="4">
        <v>0.5</v>
      </c>
      <c r="P389" s="4">
        <v>0.5</v>
      </c>
      <c r="Q389" s="4">
        <f>(P389-P388)/P388</f>
        <v>-0.41104294478527587</v>
      </c>
      <c r="R389" s="4">
        <v>20</v>
      </c>
      <c r="S389" s="3">
        <v>40331</v>
      </c>
      <c r="T389" s="2">
        <f>IF(N389&gt;0,1,0)</f>
        <v>0</v>
      </c>
    </row>
    <row r="390" spans="1:20" x14ac:dyDescent="0.2">
      <c r="A390" s="6">
        <v>389</v>
      </c>
      <c r="B390" s="3">
        <v>40339</v>
      </c>
      <c r="C390" s="4">
        <v>0.20186521697582499</v>
      </c>
      <c r="D390" s="4">
        <v>0.209461716314157</v>
      </c>
      <c r="E390" s="4">
        <v>191.9</v>
      </c>
      <c r="F390" s="4">
        <v>75</v>
      </c>
      <c r="G390" s="4">
        <v>28.124062500000001</v>
      </c>
      <c r="H390" s="4">
        <v>0.39082855653986398</v>
      </c>
      <c r="I390" s="4">
        <v>6.7708333333333301E-2</v>
      </c>
      <c r="J390" s="4">
        <v>6</v>
      </c>
      <c r="K390" s="4">
        <v>2010</v>
      </c>
      <c r="M390" s="11"/>
      <c r="O390" s="4">
        <v>0.39082855653986398</v>
      </c>
      <c r="P390" s="4">
        <v>0.39082855653986398</v>
      </c>
      <c r="Q390" s="4">
        <f>(P390-P389)/P389</f>
        <v>-0.21834288692027204</v>
      </c>
      <c r="R390" s="4">
        <v>21</v>
      </c>
      <c r="S390" s="3">
        <v>40339</v>
      </c>
      <c r="T390" s="2">
        <f>IF(N390&gt;0,1,0)</f>
        <v>0</v>
      </c>
    </row>
    <row r="391" spans="1:20" x14ac:dyDescent="0.2">
      <c r="A391" s="6">
        <v>390</v>
      </c>
      <c r="B391" s="3">
        <v>40347</v>
      </c>
      <c r="C391" s="4">
        <v>0.229192400068948</v>
      </c>
      <c r="D391" s="4">
        <v>0.158255015810331</v>
      </c>
      <c r="E391" s="4">
        <v>192</v>
      </c>
      <c r="F391" s="4">
        <v>13</v>
      </c>
      <c r="G391" s="4">
        <v>28.059947916666701</v>
      </c>
      <c r="H391" s="4">
        <v>6.7708333333333301E-2</v>
      </c>
      <c r="I391" s="4">
        <v>5.2083333333333296E-3</v>
      </c>
      <c r="J391" s="4">
        <v>6</v>
      </c>
      <c r="K391" s="4">
        <v>2010</v>
      </c>
      <c r="M391" s="11"/>
      <c r="O391" s="4">
        <v>6.7708333333333301E-2</v>
      </c>
      <c r="P391" s="4">
        <v>6.7708333333333301E-2</v>
      </c>
      <c r="Q391" s="4">
        <f>(P391-P390)/P390</f>
        <v>-0.82675694444444425</v>
      </c>
      <c r="R391" s="4">
        <v>22</v>
      </c>
      <c r="S391" s="3">
        <v>40347</v>
      </c>
      <c r="T391" s="2">
        <f>IF(N391&gt;0,1,0)</f>
        <v>0</v>
      </c>
    </row>
    <row r="392" spans="1:20" x14ac:dyDescent="0.2">
      <c r="A392" s="6">
        <v>391</v>
      </c>
      <c r="B392" s="3">
        <v>40355</v>
      </c>
      <c r="C392" s="4">
        <v>0.14331436327968999</v>
      </c>
      <c r="D392" s="4">
        <v>0.12673865879575399</v>
      </c>
      <c r="E392" s="4">
        <v>192</v>
      </c>
      <c r="F392" s="4">
        <v>1</v>
      </c>
      <c r="G392" s="4">
        <v>28.146770833333299</v>
      </c>
      <c r="H392" s="4">
        <v>5.2083333333333296E-3</v>
      </c>
      <c r="I392" s="4">
        <v>0</v>
      </c>
      <c r="J392" s="4">
        <v>6</v>
      </c>
      <c r="K392" s="4">
        <v>2010</v>
      </c>
      <c r="M392" s="11"/>
      <c r="O392" s="4">
        <v>5.2083333333333296E-3</v>
      </c>
      <c r="P392" s="4">
        <v>5.2083333333333296E-3</v>
      </c>
      <c r="Q392" s="4">
        <f>(P392-P391)/P391</f>
        <v>-0.92307692307692313</v>
      </c>
      <c r="R392" s="4">
        <v>23</v>
      </c>
      <c r="S392" s="3">
        <v>40355</v>
      </c>
      <c r="T392" s="2">
        <f>IF(N392&gt;0,1,0)</f>
        <v>0</v>
      </c>
    </row>
    <row r="393" spans="1:20" x14ac:dyDescent="0.2">
      <c r="A393" s="6">
        <v>392</v>
      </c>
      <c r="B393" s="3">
        <v>40363</v>
      </c>
      <c r="C393" s="4">
        <v>0.134328218073481</v>
      </c>
      <c r="D393" s="4">
        <v>0.111859777321418</v>
      </c>
      <c r="E393" s="4">
        <v>192</v>
      </c>
      <c r="F393" s="4">
        <v>0</v>
      </c>
      <c r="G393" s="4">
        <v>28.073515624999999</v>
      </c>
      <c r="H393" s="4">
        <v>0</v>
      </c>
      <c r="I393" s="4">
        <v>0</v>
      </c>
      <c r="J393" s="4">
        <v>7</v>
      </c>
      <c r="K393" s="4">
        <v>2010</v>
      </c>
      <c r="M393" s="11" t="s">
        <v>6</v>
      </c>
      <c r="O393" s="4">
        <v>0.01</v>
      </c>
      <c r="P393" s="4">
        <v>0.01</v>
      </c>
      <c r="Q393" s="4">
        <f>(P393-P392)/P392</f>
        <v>0.92000000000000137</v>
      </c>
      <c r="R393" s="4">
        <v>24</v>
      </c>
      <c r="S393" s="3">
        <v>40363</v>
      </c>
      <c r="T393" s="2">
        <f>IF(N393&gt;0,1,0)</f>
        <v>0</v>
      </c>
    </row>
    <row r="394" spans="1:20" x14ac:dyDescent="0.2">
      <c r="A394" s="6">
        <v>393</v>
      </c>
      <c r="B394" s="3">
        <v>40371</v>
      </c>
      <c r="C394" s="4">
        <v>0.146424180478789</v>
      </c>
      <c r="D394" s="4">
        <v>0.16700024902820601</v>
      </c>
      <c r="E394" s="4">
        <v>192</v>
      </c>
      <c r="F394" s="4">
        <v>0</v>
      </c>
      <c r="G394" s="4">
        <v>27.8647395833333</v>
      </c>
      <c r="H394" s="4">
        <v>0</v>
      </c>
      <c r="I394" s="4">
        <v>0</v>
      </c>
      <c r="J394" s="4">
        <v>7</v>
      </c>
      <c r="K394" s="4">
        <v>2010</v>
      </c>
      <c r="M394" s="11"/>
      <c r="O394" s="4">
        <v>0.01</v>
      </c>
      <c r="P394" s="4">
        <v>0.01</v>
      </c>
      <c r="Q394" s="4">
        <f>(P394-P393)/P393</f>
        <v>0</v>
      </c>
      <c r="R394" s="4">
        <v>25</v>
      </c>
      <c r="S394" s="3">
        <v>40371</v>
      </c>
      <c r="T394" s="2">
        <f>IF(N394&gt;0,1,0)</f>
        <v>0</v>
      </c>
    </row>
    <row r="395" spans="1:20" x14ac:dyDescent="0.2">
      <c r="A395" s="6">
        <v>394</v>
      </c>
      <c r="B395" s="3">
        <v>40379</v>
      </c>
      <c r="C395" s="4">
        <v>0.174172191570203</v>
      </c>
      <c r="D395" s="4">
        <v>0.14189992100000401</v>
      </c>
      <c r="E395" s="4">
        <v>192</v>
      </c>
      <c r="F395" s="4">
        <v>0</v>
      </c>
      <c r="G395" s="4">
        <v>27.692109375000001</v>
      </c>
      <c r="H395" s="4">
        <v>0</v>
      </c>
      <c r="I395" s="4">
        <v>0</v>
      </c>
      <c r="J395" s="4">
        <v>7</v>
      </c>
      <c r="K395" s="4">
        <v>2010</v>
      </c>
      <c r="M395" s="11"/>
      <c r="O395" s="4">
        <v>0.01</v>
      </c>
      <c r="P395" s="4">
        <v>0.01</v>
      </c>
      <c r="Q395" s="4">
        <f>(P395-P394)/P394</f>
        <v>0</v>
      </c>
      <c r="R395" s="4">
        <v>26</v>
      </c>
      <c r="S395" s="3">
        <v>40379</v>
      </c>
      <c r="T395" s="2">
        <f>IF(N395&gt;0,1,0)</f>
        <v>0</v>
      </c>
    </row>
    <row r="396" spans="1:20" x14ac:dyDescent="0.2">
      <c r="A396" s="6">
        <v>395</v>
      </c>
      <c r="B396" s="3">
        <v>40387</v>
      </c>
      <c r="C396" s="4">
        <v>0.14814399260406699</v>
      </c>
      <c r="D396" s="4">
        <v>0.135593218108018</v>
      </c>
      <c r="E396" s="4">
        <v>192</v>
      </c>
      <c r="F396" s="4">
        <v>0</v>
      </c>
      <c r="G396" s="4">
        <v>28.044140625000001</v>
      </c>
      <c r="H396" s="4">
        <v>0</v>
      </c>
      <c r="I396" s="4">
        <v>1.0416666666666701E-2</v>
      </c>
      <c r="J396" s="4">
        <v>7</v>
      </c>
      <c r="K396" s="4">
        <v>2010</v>
      </c>
      <c r="M396" s="11"/>
      <c r="O396" s="4">
        <v>0.01</v>
      </c>
      <c r="P396" s="4">
        <v>0.01</v>
      </c>
      <c r="Q396" s="4">
        <f>(P396-P395)/P395</f>
        <v>0</v>
      </c>
      <c r="R396" s="4">
        <v>27</v>
      </c>
      <c r="S396" s="3">
        <v>40387</v>
      </c>
      <c r="T396" s="2">
        <f>IF(N396&gt;0,1,0)</f>
        <v>0</v>
      </c>
    </row>
    <row r="397" spans="1:20" x14ac:dyDescent="0.2">
      <c r="A397" s="6">
        <v>396</v>
      </c>
      <c r="B397" s="3">
        <v>40395</v>
      </c>
      <c r="C397" s="4">
        <v>0.116262965111269</v>
      </c>
      <c r="D397" s="4">
        <v>0.113101946810881</v>
      </c>
      <c r="E397" s="4">
        <v>192</v>
      </c>
      <c r="F397" s="4">
        <v>2</v>
      </c>
      <c r="G397" s="4">
        <v>28.019375</v>
      </c>
      <c r="H397" s="4">
        <v>1.0416666666666701E-2</v>
      </c>
      <c r="I397" s="4">
        <v>0</v>
      </c>
      <c r="J397" s="4">
        <v>8</v>
      </c>
      <c r="K397" s="4">
        <v>2010</v>
      </c>
      <c r="M397" s="11" t="s">
        <v>5</v>
      </c>
      <c r="O397" s="4">
        <v>1.0416666666666701E-2</v>
      </c>
      <c r="P397" s="4">
        <v>1.0416666666666701E-2</v>
      </c>
      <c r="Q397" s="4">
        <f>(P397-P396)/P396</f>
        <v>4.1666666666670057E-2</v>
      </c>
      <c r="R397" s="4">
        <v>28</v>
      </c>
      <c r="S397" s="3">
        <v>40395</v>
      </c>
      <c r="T397" s="2">
        <f>IF(N397&gt;0,1,0)</f>
        <v>0</v>
      </c>
    </row>
    <row r="398" spans="1:20" x14ac:dyDescent="0.2">
      <c r="A398" s="6">
        <v>397</v>
      </c>
      <c r="B398" s="3">
        <v>40403</v>
      </c>
      <c r="C398" s="4">
        <v>0.14446297857691301</v>
      </c>
      <c r="D398" s="4">
        <v>0.12658745298783</v>
      </c>
      <c r="E398" s="4">
        <v>192</v>
      </c>
      <c r="F398" s="4">
        <v>0</v>
      </c>
      <c r="G398" s="4">
        <v>28.0437760416667</v>
      </c>
      <c r="H398" s="4">
        <v>0</v>
      </c>
      <c r="I398" s="4">
        <v>5.2083333333333296E-3</v>
      </c>
      <c r="J398" s="4">
        <v>8</v>
      </c>
      <c r="K398" s="4">
        <v>2010</v>
      </c>
      <c r="M398" s="11"/>
      <c r="O398" s="4">
        <v>0.01</v>
      </c>
      <c r="P398" s="4">
        <v>0.01</v>
      </c>
      <c r="Q398" s="4">
        <f>(P398-P397)/P397</f>
        <v>-4.0000000000003123E-2</v>
      </c>
      <c r="R398" s="4">
        <v>29</v>
      </c>
      <c r="S398" s="3">
        <v>40403</v>
      </c>
      <c r="T398" s="2">
        <f>IF(N398&gt;0,1,0)</f>
        <v>0</v>
      </c>
    </row>
    <row r="399" spans="1:20" x14ac:dyDescent="0.2">
      <c r="A399" s="6">
        <v>398</v>
      </c>
      <c r="B399" s="3">
        <v>40411</v>
      </c>
      <c r="C399" s="4">
        <v>0.13934216955741799</v>
      </c>
      <c r="D399" s="4">
        <v>0.12872669597466799</v>
      </c>
      <c r="E399" s="4">
        <v>192</v>
      </c>
      <c r="F399" s="4">
        <v>1</v>
      </c>
      <c r="G399" s="4">
        <v>27.763124999999999</v>
      </c>
      <c r="H399" s="4">
        <v>5.2083333333333296E-3</v>
      </c>
      <c r="I399" s="4">
        <v>0</v>
      </c>
      <c r="J399" s="4">
        <v>8</v>
      </c>
      <c r="K399" s="4">
        <v>2010</v>
      </c>
      <c r="M399" s="11"/>
      <c r="O399" s="4">
        <v>5.2083333333333296E-3</v>
      </c>
      <c r="P399" s="4">
        <v>5.2083333333333296E-3</v>
      </c>
      <c r="Q399" s="4">
        <f>(P399-P398)/P398</f>
        <v>-0.47916666666666707</v>
      </c>
      <c r="R399" s="4">
        <v>30</v>
      </c>
      <c r="S399" s="3">
        <v>40411</v>
      </c>
      <c r="T399" s="2">
        <f>IF(N399&gt;0,1,0)</f>
        <v>0</v>
      </c>
    </row>
    <row r="400" spans="1:20" x14ac:dyDescent="0.2">
      <c r="A400" s="6">
        <v>399</v>
      </c>
      <c r="B400" s="3">
        <v>40419</v>
      </c>
      <c r="C400" s="4">
        <v>0.10358071332383501</v>
      </c>
      <c r="D400" s="4">
        <v>9.5053030798832594E-2</v>
      </c>
      <c r="E400" s="4">
        <v>192</v>
      </c>
      <c r="F400" s="4">
        <v>0</v>
      </c>
      <c r="G400" s="4">
        <v>27.915624999999999</v>
      </c>
      <c r="H400" s="4">
        <v>0</v>
      </c>
      <c r="I400" s="4">
        <v>0.20833333333333301</v>
      </c>
      <c r="J400" s="4">
        <v>8</v>
      </c>
      <c r="K400" s="4">
        <v>2010</v>
      </c>
      <c r="M400" s="11"/>
      <c r="O400" s="4">
        <v>0.01</v>
      </c>
      <c r="P400" s="4">
        <v>0.01</v>
      </c>
      <c r="Q400" s="4">
        <f>(P400-P399)/P399</f>
        <v>0.92000000000000137</v>
      </c>
      <c r="R400" s="4">
        <v>31</v>
      </c>
      <c r="S400" s="3">
        <v>40419</v>
      </c>
      <c r="T400" s="2">
        <f>IF(N400&gt;0,1,0)</f>
        <v>0</v>
      </c>
    </row>
    <row r="401" spans="1:20" x14ac:dyDescent="0.2">
      <c r="A401" s="6">
        <v>400</v>
      </c>
      <c r="B401" s="3">
        <v>40427</v>
      </c>
      <c r="C401" s="4">
        <v>0.130664295330644</v>
      </c>
      <c r="D401" s="4">
        <v>0.108379686872164</v>
      </c>
      <c r="E401" s="4">
        <v>192</v>
      </c>
      <c r="F401" s="4">
        <v>40</v>
      </c>
      <c r="G401" s="4">
        <v>27.742265625000002</v>
      </c>
      <c r="H401" s="4">
        <v>0.20833333333333301</v>
      </c>
      <c r="I401" s="4">
        <v>5.7291666666666699E-2</v>
      </c>
      <c r="J401" s="4">
        <v>9</v>
      </c>
      <c r="K401" s="4">
        <v>2010</v>
      </c>
      <c r="M401" s="11" t="s">
        <v>4</v>
      </c>
      <c r="O401" s="4">
        <v>0.20833333333333301</v>
      </c>
      <c r="P401" s="4">
        <v>0.20833333333333301</v>
      </c>
      <c r="Q401" s="4">
        <f>(P401-P400)/P400</f>
        <v>19.8333333333333</v>
      </c>
      <c r="R401" s="4">
        <v>32</v>
      </c>
      <c r="S401" s="3">
        <v>40427</v>
      </c>
      <c r="T401" s="2">
        <f>IF(N401&gt;0,1,0)</f>
        <v>0</v>
      </c>
    </row>
    <row r="402" spans="1:20" x14ac:dyDescent="0.2">
      <c r="A402" s="6">
        <v>401</v>
      </c>
      <c r="B402" s="3">
        <v>40435</v>
      </c>
      <c r="C402" s="4">
        <v>0.13763258884113899</v>
      </c>
      <c r="D402" s="4">
        <v>0.112773923575878</v>
      </c>
      <c r="E402" s="4">
        <v>192</v>
      </c>
      <c r="F402" s="4">
        <v>11</v>
      </c>
      <c r="G402" s="4">
        <v>27.5986197916666</v>
      </c>
      <c r="H402" s="4">
        <v>5.7291666666666699E-2</v>
      </c>
      <c r="I402" s="4">
        <v>6.7708333333333301E-2</v>
      </c>
      <c r="J402" s="4">
        <v>9</v>
      </c>
      <c r="K402" s="4">
        <v>2010</v>
      </c>
      <c r="M402" s="11"/>
      <c r="O402" s="4">
        <v>5.7291666666666699E-2</v>
      </c>
      <c r="P402" s="4">
        <v>5.7291666666666699E-2</v>
      </c>
      <c r="Q402" s="4">
        <f>(P402-P401)/P401</f>
        <v>-0.72499999999999931</v>
      </c>
      <c r="R402" s="4">
        <v>33</v>
      </c>
      <c r="S402" s="3">
        <v>40435</v>
      </c>
      <c r="T402" s="2">
        <f>IF(N402&gt;0,1,0)</f>
        <v>0</v>
      </c>
    </row>
    <row r="403" spans="1:20" x14ac:dyDescent="0.2">
      <c r="A403" s="6">
        <v>402</v>
      </c>
      <c r="B403" s="3">
        <v>40443</v>
      </c>
      <c r="C403" s="4">
        <v>0.12897511571645701</v>
      </c>
      <c r="D403" s="4" t="s">
        <v>0</v>
      </c>
      <c r="E403" s="4">
        <v>192</v>
      </c>
      <c r="F403" s="4">
        <v>13</v>
      </c>
      <c r="G403" s="4">
        <v>27.632239583333298</v>
      </c>
      <c r="H403" s="4">
        <v>6.7708333333333301E-2</v>
      </c>
      <c r="I403" s="4">
        <v>0.13541666666666699</v>
      </c>
      <c r="J403" s="4">
        <v>9</v>
      </c>
      <c r="K403" s="4">
        <v>2010</v>
      </c>
      <c r="M403" s="11"/>
      <c r="O403" s="4">
        <v>6.7708333333333301E-2</v>
      </c>
      <c r="P403" s="4">
        <v>6.7708333333333301E-2</v>
      </c>
      <c r="Q403" s="4">
        <f>(P403-P402)/P402</f>
        <v>0.18181818181818057</v>
      </c>
      <c r="R403" s="4">
        <v>34</v>
      </c>
      <c r="S403" s="3">
        <v>40443</v>
      </c>
      <c r="T403" s="2">
        <f>IF(N403&gt;0,1,0)</f>
        <v>0</v>
      </c>
    </row>
    <row r="404" spans="1:20" x14ac:dyDescent="0.2">
      <c r="A404" s="6">
        <v>403</v>
      </c>
      <c r="B404" s="3">
        <v>40451</v>
      </c>
      <c r="C404" s="4">
        <v>0.145073350341547</v>
      </c>
      <c r="D404" s="4">
        <v>0.13090190291404699</v>
      </c>
      <c r="E404" s="4">
        <v>192</v>
      </c>
      <c r="F404" s="4">
        <v>26</v>
      </c>
      <c r="G404" s="4">
        <v>27.743072916666701</v>
      </c>
      <c r="H404" s="4">
        <v>0.13541666666666699</v>
      </c>
      <c r="I404" s="4">
        <v>0.13020833333333301</v>
      </c>
      <c r="J404" s="4">
        <v>9</v>
      </c>
      <c r="K404" s="4">
        <v>2010</v>
      </c>
      <c r="M404" s="11"/>
      <c r="O404" s="4">
        <v>0.13541666666666699</v>
      </c>
      <c r="P404" s="4">
        <v>0.13541666666666699</v>
      </c>
      <c r="Q404" s="4">
        <f>(P404-P403)/P403</f>
        <v>1.0000000000000058</v>
      </c>
      <c r="R404" s="4">
        <v>35</v>
      </c>
      <c r="S404" s="3">
        <v>40451</v>
      </c>
      <c r="T404" s="2">
        <f>IF(N404&gt;0,1,0)</f>
        <v>0</v>
      </c>
    </row>
    <row r="405" spans="1:20" x14ac:dyDescent="0.2">
      <c r="A405" s="6">
        <v>404</v>
      </c>
      <c r="B405" s="3">
        <v>40459</v>
      </c>
      <c r="C405" s="4">
        <v>0.10970776931693201</v>
      </c>
      <c r="D405" s="4">
        <v>9.7665585577487904E-2</v>
      </c>
      <c r="E405" s="4">
        <v>192</v>
      </c>
      <c r="F405" s="4">
        <v>25</v>
      </c>
      <c r="G405" s="4">
        <v>27.8714322916667</v>
      </c>
      <c r="H405" s="4">
        <v>0.13020833333333301</v>
      </c>
      <c r="I405" s="4">
        <v>5.7291666666666699E-2</v>
      </c>
      <c r="J405" s="4">
        <v>10</v>
      </c>
      <c r="K405" s="4">
        <v>2010</v>
      </c>
      <c r="M405" s="11" t="s">
        <v>3</v>
      </c>
      <c r="O405" s="4">
        <v>0.13020833333333301</v>
      </c>
      <c r="P405" s="4">
        <v>0.13020833333333301</v>
      </c>
      <c r="Q405" s="4">
        <f>(P405-P404)/P404</f>
        <v>-3.8461538461543154E-2</v>
      </c>
      <c r="R405" s="4">
        <v>36</v>
      </c>
      <c r="S405" s="3">
        <v>40459</v>
      </c>
      <c r="T405" s="2">
        <f>IF(N405&gt;0,1,0)</f>
        <v>0</v>
      </c>
    </row>
    <row r="406" spans="1:20" x14ac:dyDescent="0.2">
      <c r="A406" s="6">
        <v>405</v>
      </c>
      <c r="B406" s="3">
        <v>40467</v>
      </c>
      <c r="C406" s="4">
        <v>0.135166312743734</v>
      </c>
      <c r="D406" s="4">
        <v>0.130398957679669</v>
      </c>
      <c r="E406" s="4">
        <v>192</v>
      </c>
      <c r="F406" s="4">
        <v>11</v>
      </c>
      <c r="G406" s="4">
        <v>28.247890625</v>
      </c>
      <c r="H406" s="4">
        <v>5.7291666666666699E-2</v>
      </c>
      <c r="I406" s="4">
        <v>0.17708333333333301</v>
      </c>
      <c r="J406" s="4">
        <v>10</v>
      </c>
      <c r="K406" s="4">
        <v>2010</v>
      </c>
      <c r="M406" s="11"/>
      <c r="O406" s="4">
        <v>5.7291666666666699E-2</v>
      </c>
      <c r="P406" s="4">
        <v>5.7291666666666699E-2</v>
      </c>
      <c r="Q406" s="4">
        <f>(P406-P405)/P405</f>
        <v>-0.55999999999999861</v>
      </c>
      <c r="R406" s="4">
        <v>37</v>
      </c>
      <c r="S406" s="3">
        <v>40467</v>
      </c>
      <c r="T406" s="2">
        <f>IF(N406&gt;0,1,0)</f>
        <v>0</v>
      </c>
    </row>
    <row r="407" spans="1:20" x14ac:dyDescent="0.2">
      <c r="A407" s="6">
        <v>406</v>
      </c>
      <c r="B407" s="10">
        <v>40475</v>
      </c>
      <c r="C407" s="4">
        <v>9.7597277984559097E-2</v>
      </c>
      <c r="D407" s="4">
        <v>9.1657339284817396E-2</v>
      </c>
      <c r="E407" s="4">
        <v>192</v>
      </c>
      <c r="F407" s="4">
        <v>34</v>
      </c>
      <c r="G407" s="4">
        <v>28.5701302083333</v>
      </c>
      <c r="H407" s="4">
        <v>0.17708333333333301</v>
      </c>
      <c r="I407" s="4">
        <v>0.54166666666666696</v>
      </c>
      <c r="J407" s="4">
        <v>10</v>
      </c>
      <c r="K407" s="4">
        <v>2010</v>
      </c>
      <c r="M407" s="11"/>
      <c r="N407" s="4">
        <v>0.17708333333333301</v>
      </c>
      <c r="P407" s="4">
        <v>0.17708333333333301</v>
      </c>
      <c r="Q407" s="9">
        <f>(P407-P406)/P406</f>
        <v>2.0909090909090837</v>
      </c>
      <c r="R407" s="4">
        <v>38</v>
      </c>
      <c r="S407" s="10">
        <v>40475</v>
      </c>
      <c r="T407" s="2">
        <f>IF(N407&gt;0,1,0)</f>
        <v>1</v>
      </c>
    </row>
    <row r="408" spans="1:20" x14ac:dyDescent="0.2">
      <c r="A408" s="6">
        <v>407</v>
      </c>
      <c r="B408" s="3">
        <v>40483</v>
      </c>
      <c r="C408" s="4">
        <v>0.119171174450053</v>
      </c>
      <c r="D408" s="4">
        <v>9.6594045559565203E-2</v>
      </c>
      <c r="E408" s="4">
        <v>192</v>
      </c>
      <c r="F408" s="4">
        <v>104</v>
      </c>
      <c r="G408" s="4">
        <v>28.6181770833333</v>
      </c>
      <c r="H408" s="4">
        <v>0.54166666666666696</v>
      </c>
      <c r="I408" s="4">
        <v>0.96354166666666696</v>
      </c>
      <c r="J408" s="4">
        <v>11</v>
      </c>
      <c r="K408" s="4">
        <v>2010</v>
      </c>
      <c r="M408" s="11" t="s">
        <v>2</v>
      </c>
      <c r="N408" s="4">
        <v>0.54166666666666696</v>
      </c>
      <c r="P408" s="4">
        <v>0.54166666666666696</v>
      </c>
      <c r="Q408" s="4">
        <f>(P408-P407)/P407</f>
        <v>2.0588235294117716</v>
      </c>
      <c r="R408" s="4">
        <v>39</v>
      </c>
      <c r="S408" s="3">
        <v>40483</v>
      </c>
      <c r="T408" s="2">
        <f>IF(N408&gt;0,1,0)</f>
        <v>1</v>
      </c>
    </row>
    <row r="409" spans="1:20" x14ac:dyDescent="0.2">
      <c r="A409" s="6">
        <v>408</v>
      </c>
      <c r="B409" s="3">
        <v>40491</v>
      </c>
      <c r="C409" s="4">
        <v>0.14202530823752901</v>
      </c>
      <c r="D409" s="4">
        <v>0.13815634449323</v>
      </c>
      <c r="E409" s="4">
        <v>192</v>
      </c>
      <c r="F409" s="4">
        <v>185</v>
      </c>
      <c r="G409" s="4">
        <v>28.757057291666701</v>
      </c>
      <c r="H409" s="4">
        <v>0.96354166666666696</v>
      </c>
      <c r="I409" s="4">
        <v>0.953125</v>
      </c>
      <c r="J409" s="4">
        <v>11</v>
      </c>
      <c r="K409" s="4">
        <v>2010</v>
      </c>
      <c r="M409" s="11"/>
      <c r="N409" s="4">
        <v>0.96354166666666696</v>
      </c>
      <c r="P409" s="4">
        <v>0.96354166666666696</v>
      </c>
      <c r="Q409" s="4">
        <f>(P409-P408)/P408</f>
        <v>0.77884615384615341</v>
      </c>
      <c r="R409" s="4">
        <v>40</v>
      </c>
      <c r="S409" s="3">
        <v>40491</v>
      </c>
      <c r="T409" s="2">
        <f>IF(N409&gt;0,1,0)</f>
        <v>1</v>
      </c>
    </row>
    <row r="410" spans="1:20" x14ac:dyDescent="0.2">
      <c r="A410" s="6">
        <v>409</v>
      </c>
      <c r="B410" s="3">
        <v>40499</v>
      </c>
      <c r="C410" s="4">
        <v>0.13146161851990601</v>
      </c>
      <c r="D410" s="4">
        <v>9.3445282429456697E-2</v>
      </c>
      <c r="E410" s="4">
        <v>192</v>
      </c>
      <c r="F410" s="4">
        <v>183</v>
      </c>
      <c r="G410" s="4">
        <v>28.7185677083333</v>
      </c>
      <c r="H410" s="4">
        <v>0.953125</v>
      </c>
      <c r="I410" s="4">
        <v>0.80208333333333304</v>
      </c>
      <c r="J410" s="4">
        <v>11</v>
      </c>
      <c r="K410" s="4">
        <v>2010</v>
      </c>
      <c r="M410" s="11"/>
      <c r="N410" s="4">
        <v>0.953125</v>
      </c>
      <c r="P410" s="4">
        <v>0.953125</v>
      </c>
      <c r="Q410" s="4">
        <f>(P410-P409)/P409</f>
        <v>-1.0810810810811115E-2</v>
      </c>
      <c r="R410" s="4">
        <v>41</v>
      </c>
      <c r="S410" s="3">
        <v>40499</v>
      </c>
      <c r="T410" s="2">
        <f>IF(N410&gt;0,1,0)</f>
        <v>1</v>
      </c>
    </row>
    <row r="411" spans="1:20" x14ac:dyDescent="0.2">
      <c r="A411" s="6">
        <v>410</v>
      </c>
      <c r="B411" s="3">
        <v>40507</v>
      </c>
      <c r="C411" s="4">
        <v>0.12711876025423399</v>
      </c>
      <c r="D411" s="4">
        <v>0.101202949881554</v>
      </c>
      <c r="E411" s="4">
        <v>192</v>
      </c>
      <c r="F411" s="4">
        <v>154</v>
      </c>
      <c r="G411" s="4">
        <v>28.728307291666599</v>
      </c>
      <c r="H411" s="4">
        <v>0.80208333333333304</v>
      </c>
      <c r="I411" s="4">
        <v>0.296875</v>
      </c>
      <c r="J411" s="4">
        <v>11</v>
      </c>
      <c r="K411" s="4">
        <v>2010</v>
      </c>
      <c r="M411" s="11"/>
      <c r="N411" s="4">
        <v>0.80208333333333304</v>
      </c>
      <c r="P411" s="4">
        <v>0.80208333333333304</v>
      </c>
      <c r="Q411" s="4">
        <f>(P411-P410)/P410</f>
        <v>-0.15846994535519157</v>
      </c>
      <c r="R411" s="4">
        <v>42</v>
      </c>
      <c r="S411" s="3">
        <v>40507</v>
      </c>
      <c r="T411" s="2">
        <f>IF(N411&gt;0,1,0)</f>
        <v>1</v>
      </c>
    </row>
    <row r="412" spans="1:20" x14ac:dyDescent="0.2">
      <c r="A412" s="6">
        <v>411</v>
      </c>
      <c r="B412" s="10">
        <v>40515</v>
      </c>
      <c r="C412" s="4">
        <v>0.16019526889754701</v>
      </c>
      <c r="D412" s="4">
        <v>0.150593454639117</v>
      </c>
      <c r="E412" s="4">
        <v>192</v>
      </c>
      <c r="F412" s="4">
        <v>57</v>
      </c>
      <c r="G412" s="4">
        <v>28.911562499999999</v>
      </c>
      <c r="H412" s="4">
        <v>0.296875</v>
      </c>
      <c r="I412" s="4">
        <v>1.5625E-2</v>
      </c>
      <c r="J412" s="4">
        <v>12</v>
      </c>
      <c r="K412" s="4">
        <v>2010</v>
      </c>
      <c r="M412" s="11" t="s">
        <v>1</v>
      </c>
      <c r="N412" s="4">
        <v>0.296875</v>
      </c>
      <c r="P412" s="4">
        <v>0.296875</v>
      </c>
      <c r="Q412" s="4">
        <f>(P412-P411)/P411</f>
        <v>-0.62987012987012969</v>
      </c>
      <c r="R412" s="4">
        <v>43</v>
      </c>
      <c r="S412" s="10">
        <v>40515</v>
      </c>
      <c r="T412" s="2">
        <f>IF(N412&gt;0,1,0)</f>
        <v>1</v>
      </c>
    </row>
    <row r="413" spans="1:20" x14ac:dyDescent="0.2">
      <c r="A413" s="6">
        <v>412</v>
      </c>
      <c r="B413" s="3">
        <v>40523</v>
      </c>
      <c r="C413" s="4">
        <v>0.16049159633823601</v>
      </c>
      <c r="D413" s="4">
        <v>0.14740897963444399</v>
      </c>
      <c r="E413" s="4">
        <v>192</v>
      </c>
      <c r="F413" s="4">
        <v>3</v>
      </c>
      <c r="G413" s="4">
        <v>28.3079166666666</v>
      </c>
      <c r="H413" s="4">
        <v>1.5625E-2</v>
      </c>
      <c r="I413" s="4">
        <v>0.26041666666666702</v>
      </c>
      <c r="J413" s="4">
        <v>12</v>
      </c>
      <c r="K413" s="4">
        <v>2010</v>
      </c>
      <c r="M413" s="5"/>
      <c r="O413" s="4">
        <v>1.5625E-2</v>
      </c>
      <c r="P413" s="4">
        <v>1.5625E-2</v>
      </c>
      <c r="Q413" s="9">
        <f>(P413-P412)/P412</f>
        <v>-0.94736842105263153</v>
      </c>
      <c r="R413" s="4">
        <v>44</v>
      </c>
      <c r="S413" s="3">
        <v>40523</v>
      </c>
      <c r="T413" s="2">
        <f>IF(N413&gt;0,1,0)</f>
        <v>0</v>
      </c>
    </row>
    <row r="414" spans="1:20" x14ac:dyDescent="0.2">
      <c r="A414" s="6">
        <v>413</v>
      </c>
      <c r="B414" s="3">
        <v>40531</v>
      </c>
      <c r="C414" s="4">
        <v>0.180539724313551</v>
      </c>
      <c r="D414" s="4">
        <v>0.17329457650582</v>
      </c>
      <c r="E414" s="4">
        <v>192</v>
      </c>
      <c r="F414" s="4">
        <v>50</v>
      </c>
      <c r="G414" s="4">
        <v>27.531822916666702</v>
      </c>
      <c r="H414" s="4">
        <v>0.26041666666666702</v>
      </c>
      <c r="I414" s="4">
        <v>8.3333333333333297E-3</v>
      </c>
      <c r="J414" s="4">
        <v>12</v>
      </c>
      <c r="K414" s="4">
        <v>2010</v>
      </c>
      <c r="M414" s="5"/>
      <c r="O414" s="4">
        <v>0.26041666666666702</v>
      </c>
      <c r="P414" s="4">
        <v>0.26041666666666702</v>
      </c>
      <c r="Q414" s="4">
        <f>(P414-P413)/P413</f>
        <v>15.666666666666689</v>
      </c>
      <c r="R414" s="4">
        <v>45</v>
      </c>
      <c r="S414" s="3">
        <v>40531</v>
      </c>
      <c r="T414" s="2">
        <f>IF(N414&gt;0,1,0)</f>
        <v>0</v>
      </c>
    </row>
    <row r="415" spans="1:20" x14ac:dyDescent="0.2">
      <c r="A415" s="6">
        <v>414</v>
      </c>
      <c r="B415" s="3">
        <v>40539</v>
      </c>
      <c r="C415" s="4">
        <v>0.15517183716463701</v>
      </c>
      <c r="D415" s="4">
        <v>0.156750870247682</v>
      </c>
      <c r="E415" s="4">
        <v>120</v>
      </c>
      <c r="F415" s="4">
        <v>1</v>
      </c>
      <c r="G415" s="4">
        <v>27.261458333333302</v>
      </c>
      <c r="H415" s="4">
        <v>8.3333333333333297E-3</v>
      </c>
      <c r="I415" s="4">
        <v>5.2083333333333296E-3</v>
      </c>
      <c r="J415" s="4">
        <v>12</v>
      </c>
      <c r="K415" s="4">
        <v>2010</v>
      </c>
      <c r="M415" s="5"/>
      <c r="O415" s="4">
        <v>8.3333333333333297E-3</v>
      </c>
      <c r="P415" s="4">
        <v>8.3333333333333297E-3</v>
      </c>
      <c r="Q415" s="4">
        <f>(P415-P414)/P414</f>
        <v>-0.96800000000000019</v>
      </c>
      <c r="R415" s="4">
        <v>46</v>
      </c>
      <c r="S415" s="3">
        <v>40539</v>
      </c>
      <c r="T415" s="2">
        <f>IF(N415&gt;0,1,0)</f>
        <v>0</v>
      </c>
    </row>
    <row r="416" spans="1:20" x14ac:dyDescent="0.2">
      <c r="A416" s="6">
        <v>415</v>
      </c>
      <c r="B416" s="3">
        <v>40544</v>
      </c>
      <c r="C416" s="4">
        <v>0.20261931926425999</v>
      </c>
      <c r="D416" s="4">
        <v>0.193362032373746</v>
      </c>
      <c r="E416" s="4">
        <v>192</v>
      </c>
      <c r="F416" s="4">
        <v>1</v>
      </c>
      <c r="G416" s="4">
        <v>27.432994791666701</v>
      </c>
      <c r="H416" s="4">
        <v>5.2083333333333296E-3</v>
      </c>
      <c r="I416" s="4">
        <v>0</v>
      </c>
      <c r="J416" s="4">
        <v>1</v>
      </c>
      <c r="K416" s="4">
        <v>2011</v>
      </c>
      <c r="L416">
        <v>2011</v>
      </c>
      <c r="M416" s="11" t="s">
        <v>12</v>
      </c>
      <c r="O416" s="4">
        <v>5.2083333333333296E-3</v>
      </c>
      <c r="P416" s="4">
        <v>5.2083333333333296E-3</v>
      </c>
      <c r="Q416" s="4">
        <f>(P416-P415)/P415</f>
        <v>-0.37500000000000017</v>
      </c>
      <c r="R416" s="4">
        <v>1</v>
      </c>
      <c r="S416" s="3">
        <v>40544</v>
      </c>
      <c r="T416" s="2">
        <f>IF(N416&gt;0,1,0)</f>
        <v>0</v>
      </c>
    </row>
    <row r="417" spans="1:20" x14ac:dyDescent="0.2">
      <c r="A417" s="6">
        <v>416</v>
      </c>
      <c r="B417" s="3">
        <v>40552</v>
      </c>
      <c r="C417" s="4">
        <v>0.23292351605883499</v>
      </c>
      <c r="D417" s="4">
        <v>0.211425897975763</v>
      </c>
      <c r="E417" s="4">
        <v>192</v>
      </c>
      <c r="F417" s="4">
        <v>0</v>
      </c>
      <c r="G417" s="4">
        <v>27.480755208333299</v>
      </c>
      <c r="H417" s="4">
        <v>0</v>
      </c>
      <c r="I417" s="4">
        <v>0</v>
      </c>
      <c r="J417" s="4">
        <v>1</v>
      </c>
      <c r="K417" s="4">
        <v>2011</v>
      </c>
      <c r="M417" s="11"/>
      <c r="O417" s="4">
        <v>0.01</v>
      </c>
      <c r="P417" s="4">
        <v>0.01</v>
      </c>
      <c r="Q417" s="4">
        <f>(P417-P416)/P416</f>
        <v>0.92000000000000137</v>
      </c>
      <c r="R417" s="4">
        <v>2</v>
      </c>
      <c r="S417" s="3">
        <v>40552</v>
      </c>
      <c r="T417" s="2">
        <f>IF(N417&gt;0,1,0)</f>
        <v>0</v>
      </c>
    </row>
    <row r="418" spans="1:20" x14ac:dyDescent="0.2">
      <c r="A418" s="6">
        <v>417</v>
      </c>
      <c r="B418" s="3">
        <v>40560</v>
      </c>
      <c r="C418" s="4">
        <v>0.31287019679115902</v>
      </c>
      <c r="D418" s="4">
        <v>0.270162080725034</v>
      </c>
      <c r="E418" s="4">
        <v>192</v>
      </c>
      <c r="F418" s="4">
        <v>0</v>
      </c>
      <c r="G418" s="4">
        <v>27.67625</v>
      </c>
      <c r="H418" s="4">
        <v>0</v>
      </c>
      <c r="I418" s="4">
        <v>0</v>
      </c>
      <c r="J418" s="4">
        <v>1</v>
      </c>
      <c r="K418" s="4">
        <v>2011</v>
      </c>
      <c r="M418" s="11"/>
      <c r="O418" s="4">
        <v>0.01</v>
      </c>
      <c r="P418" s="4">
        <v>0.01</v>
      </c>
      <c r="Q418" s="4">
        <f>(P418-P417)/P417</f>
        <v>0</v>
      </c>
      <c r="R418" s="4">
        <v>3</v>
      </c>
      <c r="S418" s="3">
        <v>40560</v>
      </c>
      <c r="T418" s="2">
        <f>IF(N418&gt;0,1,0)</f>
        <v>0</v>
      </c>
    </row>
    <row r="419" spans="1:20" x14ac:dyDescent="0.2">
      <c r="A419" s="6">
        <v>418</v>
      </c>
      <c r="B419" s="3">
        <v>40568</v>
      </c>
      <c r="C419" s="4">
        <v>0.38684801788379702</v>
      </c>
      <c r="D419" s="4">
        <v>0.388944461941719</v>
      </c>
      <c r="E419" s="4">
        <v>192</v>
      </c>
      <c r="F419" s="4">
        <v>0</v>
      </c>
      <c r="G419" s="4">
        <v>27.731510416666701</v>
      </c>
      <c r="H419" s="4">
        <v>0</v>
      </c>
      <c r="I419" s="4">
        <v>0</v>
      </c>
      <c r="J419" s="4">
        <v>1</v>
      </c>
      <c r="K419" s="4">
        <v>2011</v>
      </c>
      <c r="M419" s="11"/>
      <c r="O419" s="4">
        <v>0.01</v>
      </c>
      <c r="P419" s="4">
        <v>0.01</v>
      </c>
      <c r="Q419" s="4">
        <f>(P419-P418)/P418</f>
        <v>0</v>
      </c>
      <c r="R419" s="4">
        <v>4</v>
      </c>
      <c r="S419" s="3">
        <v>40568</v>
      </c>
      <c r="T419" s="2">
        <f>IF(N419&gt;0,1,0)</f>
        <v>0</v>
      </c>
    </row>
    <row r="420" spans="1:20" x14ac:dyDescent="0.2">
      <c r="A420" s="6">
        <v>419</v>
      </c>
      <c r="B420" s="3">
        <v>40576</v>
      </c>
      <c r="C420" s="4" t="s">
        <v>0</v>
      </c>
      <c r="D420" s="4" t="s">
        <v>0</v>
      </c>
      <c r="E420" s="4">
        <v>192</v>
      </c>
      <c r="F420" s="4">
        <v>0</v>
      </c>
      <c r="G420" s="4">
        <v>27.958854166666701</v>
      </c>
      <c r="H420" s="4">
        <v>0</v>
      </c>
      <c r="I420" s="4">
        <v>0</v>
      </c>
      <c r="J420" s="4">
        <v>2</v>
      </c>
      <c r="K420" s="4">
        <v>2011</v>
      </c>
      <c r="M420" s="11" t="s">
        <v>11</v>
      </c>
      <c r="O420" s="4">
        <v>0.01</v>
      </c>
      <c r="P420" s="4">
        <v>0.01</v>
      </c>
      <c r="Q420" s="4">
        <f>(P420-P419)/P419</f>
        <v>0</v>
      </c>
      <c r="R420" s="4">
        <v>5</v>
      </c>
      <c r="S420" s="3">
        <v>40576</v>
      </c>
      <c r="T420" s="2">
        <f>IF(N420&gt;0,1,0)</f>
        <v>0</v>
      </c>
    </row>
    <row r="421" spans="1:20" x14ac:dyDescent="0.2">
      <c r="A421" s="6">
        <v>420</v>
      </c>
      <c r="B421" s="3">
        <v>40584</v>
      </c>
      <c r="C421" s="4">
        <v>0.18694601104491301</v>
      </c>
      <c r="D421" s="4">
        <v>0.181436819334825</v>
      </c>
      <c r="E421" s="4">
        <v>192</v>
      </c>
      <c r="F421" s="4">
        <v>0</v>
      </c>
      <c r="G421" s="4">
        <v>28.579791666666701</v>
      </c>
      <c r="H421" s="4">
        <v>0</v>
      </c>
      <c r="I421" s="4">
        <v>0</v>
      </c>
      <c r="J421" s="4">
        <v>2</v>
      </c>
      <c r="K421" s="4">
        <v>2011</v>
      </c>
      <c r="M421" s="11"/>
      <c r="O421" s="4">
        <v>0.01</v>
      </c>
      <c r="P421" s="4">
        <v>0.01</v>
      </c>
      <c r="Q421" s="4">
        <f>(P421-P420)/P420</f>
        <v>0</v>
      </c>
      <c r="R421" s="4">
        <v>6</v>
      </c>
      <c r="S421" s="3">
        <v>40584</v>
      </c>
      <c r="T421" s="2">
        <f>IF(N421&gt;0,1,0)</f>
        <v>0</v>
      </c>
    </row>
    <row r="422" spans="1:20" x14ac:dyDescent="0.2">
      <c r="A422" s="6">
        <v>421</v>
      </c>
      <c r="B422" s="3">
        <v>40592</v>
      </c>
      <c r="C422" s="4">
        <v>0.18514342714722001</v>
      </c>
      <c r="D422" s="4">
        <v>0.17307616273562099</v>
      </c>
      <c r="E422" s="4">
        <v>192</v>
      </c>
      <c r="F422" s="4">
        <v>0</v>
      </c>
      <c r="G422" s="4">
        <v>28.642187499999999</v>
      </c>
      <c r="H422" s="4">
        <v>0</v>
      </c>
      <c r="I422" s="4">
        <v>0</v>
      </c>
      <c r="J422" s="4">
        <v>2</v>
      </c>
      <c r="K422" s="4">
        <v>2011</v>
      </c>
      <c r="M422" s="11"/>
      <c r="O422" s="4">
        <v>0.01</v>
      </c>
      <c r="P422" s="4">
        <v>0.01</v>
      </c>
      <c r="Q422" s="4">
        <f>(P422-P421)/P421</f>
        <v>0</v>
      </c>
      <c r="R422" s="4">
        <v>7</v>
      </c>
      <c r="S422" s="3">
        <v>40592</v>
      </c>
      <c r="T422" s="2">
        <f>IF(N422&gt;0,1,0)</f>
        <v>0</v>
      </c>
    </row>
    <row r="423" spans="1:20" x14ac:dyDescent="0.2">
      <c r="A423" s="6">
        <v>422</v>
      </c>
      <c r="B423" s="3">
        <v>40600</v>
      </c>
      <c r="C423" s="4">
        <v>0.17087928604492</v>
      </c>
      <c r="D423" s="4">
        <v>0.17024335761865</v>
      </c>
      <c r="E423" s="4">
        <v>192</v>
      </c>
      <c r="F423" s="4">
        <v>0</v>
      </c>
      <c r="G423" s="4">
        <v>28.5369270833333</v>
      </c>
      <c r="H423" s="4">
        <v>0</v>
      </c>
      <c r="I423" s="4">
        <v>0</v>
      </c>
      <c r="J423" s="4">
        <v>2</v>
      </c>
      <c r="K423" s="4">
        <v>2011</v>
      </c>
      <c r="M423" s="11"/>
      <c r="O423" s="4">
        <v>0.01</v>
      </c>
      <c r="P423" s="4">
        <v>0.01</v>
      </c>
      <c r="Q423" s="4">
        <f>(P423-P422)/P422</f>
        <v>0</v>
      </c>
      <c r="R423" s="4">
        <v>8</v>
      </c>
      <c r="S423" s="3">
        <v>40600</v>
      </c>
      <c r="T423" s="2">
        <f>IF(N423&gt;0,1,0)</f>
        <v>0</v>
      </c>
    </row>
    <row r="424" spans="1:20" x14ac:dyDescent="0.2">
      <c r="A424" s="6">
        <v>423</v>
      </c>
      <c r="B424" s="3">
        <v>40608</v>
      </c>
      <c r="C424" s="4">
        <v>0.14160487081829501</v>
      </c>
      <c r="D424" s="4">
        <v>0.129246259729067</v>
      </c>
      <c r="E424" s="4">
        <v>192</v>
      </c>
      <c r="F424" s="4">
        <v>0</v>
      </c>
      <c r="G424" s="4">
        <v>28.724973958333301</v>
      </c>
      <c r="H424" s="4">
        <v>0</v>
      </c>
      <c r="I424" s="4">
        <v>0</v>
      </c>
      <c r="J424" s="4">
        <v>3</v>
      </c>
      <c r="K424" s="4">
        <v>2011</v>
      </c>
      <c r="M424" s="11" t="s">
        <v>10</v>
      </c>
      <c r="O424" s="4">
        <v>0.01</v>
      </c>
      <c r="P424" s="4">
        <v>0.01</v>
      </c>
      <c r="Q424" s="4">
        <f>(P424-P423)/P423</f>
        <v>0</v>
      </c>
      <c r="R424" s="4">
        <v>9</v>
      </c>
      <c r="S424" s="3">
        <v>40608</v>
      </c>
      <c r="T424" s="2">
        <f>IF(N424&gt;0,1,0)</f>
        <v>0</v>
      </c>
    </row>
    <row r="425" spans="1:20" x14ac:dyDescent="0.2">
      <c r="A425" s="6">
        <v>424</v>
      </c>
      <c r="B425" s="3">
        <v>40616</v>
      </c>
      <c r="C425" s="4">
        <v>0.15643534861091099</v>
      </c>
      <c r="D425" s="4">
        <v>0.14952302475770299</v>
      </c>
      <c r="E425" s="4">
        <v>192</v>
      </c>
      <c r="F425" s="4">
        <v>0</v>
      </c>
      <c r="G425" s="4">
        <v>28.772343750000001</v>
      </c>
      <c r="H425" s="4">
        <v>0</v>
      </c>
      <c r="I425" s="4">
        <v>0</v>
      </c>
      <c r="J425" s="4">
        <v>3</v>
      </c>
      <c r="K425" s="4">
        <v>2011</v>
      </c>
      <c r="M425" s="11"/>
      <c r="O425" s="4">
        <v>0.01</v>
      </c>
      <c r="P425" s="4">
        <v>0.01</v>
      </c>
      <c r="Q425" s="4">
        <f>(P425-P424)/P424</f>
        <v>0</v>
      </c>
      <c r="R425" s="4">
        <v>10</v>
      </c>
      <c r="S425" s="3">
        <v>40616</v>
      </c>
      <c r="T425" s="2">
        <f>IF(N425&gt;0,1,0)</f>
        <v>0</v>
      </c>
    </row>
    <row r="426" spans="1:20" x14ac:dyDescent="0.2">
      <c r="A426" s="6">
        <v>425</v>
      </c>
      <c r="B426" s="3">
        <v>40624</v>
      </c>
      <c r="C426" s="4">
        <v>0.146949705719534</v>
      </c>
      <c r="D426" s="4">
        <v>0.13899488250414499</v>
      </c>
      <c r="E426" s="4">
        <v>192</v>
      </c>
      <c r="F426" s="4">
        <v>0</v>
      </c>
      <c r="G426" s="4">
        <v>29.389401041666702</v>
      </c>
      <c r="H426" s="4">
        <v>0</v>
      </c>
      <c r="I426" s="4">
        <v>0</v>
      </c>
      <c r="J426" s="4">
        <v>3</v>
      </c>
      <c r="K426" s="4">
        <v>2011</v>
      </c>
      <c r="M426" s="11"/>
      <c r="O426" s="4">
        <v>0.01</v>
      </c>
      <c r="P426" s="4">
        <v>0.01</v>
      </c>
      <c r="Q426" s="4">
        <f>(P426-P425)/P425</f>
        <v>0</v>
      </c>
      <c r="R426" s="4">
        <v>11</v>
      </c>
      <c r="S426" s="3">
        <v>40624</v>
      </c>
      <c r="T426" s="2">
        <f>IF(N426&gt;0,1,0)</f>
        <v>0</v>
      </c>
    </row>
    <row r="427" spans="1:20" x14ac:dyDescent="0.2">
      <c r="A427" s="6">
        <v>426</v>
      </c>
      <c r="B427" s="3">
        <v>40632</v>
      </c>
      <c r="C427" s="4">
        <v>0.13587024286910401</v>
      </c>
      <c r="D427" s="4">
        <v>0.13506495455900799</v>
      </c>
      <c r="E427" s="4">
        <v>192</v>
      </c>
      <c r="F427" s="4">
        <v>0</v>
      </c>
      <c r="G427" s="4">
        <v>29.100052083333299</v>
      </c>
      <c r="H427" s="4">
        <v>0</v>
      </c>
      <c r="I427" s="4">
        <v>6.7708333333333301E-2</v>
      </c>
      <c r="J427" s="4">
        <v>3</v>
      </c>
      <c r="K427" s="4">
        <v>2011</v>
      </c>
      <c r="M427" s="11"/>
      <c r="O427" s="4">
        <v>0.01</v>
      </c>
      <c r="P427" s="4">
        <v>0.01</v>
      </c>
      <c r="Q427" s="4">
        <f>(P427-P426)/P426</f>
        <v>0</v>
      </c>
      <c r="R427" s="4">
        <v>12</v>
      </c>
      <c r="S427" s="3">
        <v>40632</v>
      </c>
      <c r="T427" s="2">
        <f>IF(N427&gt;0,1,0)</f>
        <v>0</v>
      </c>
    </row>
    <row r="428" spans="1:20" x14ac:dyDescent="0.2">
      <c r="A428" s="6">
        <v>427</v>
      </c>
      <c r="B428" s="3">
        <v>40640</v>
      </c>
      <c r="C428" s="4">
        <v>0.12764220915010399</v>
      </c>
      <c r="D428" s="4">
        <v>0.122196802248557</v>
      </c>
      <c r="E428" s="4">
        <v>192</v>
      </c>
      <c r="F428" s="4">
        <v>13</v>
      </c>
      <c r="G428" s="4">
        <v>28.931171875</v>
      </c>
      <c r="H428" s="4">
        <v>6.7708333333333301E-2</v>
      </c>
      <c r="I428" s="4">
        <v>3.6496350364963501E-2</v>
      </c>
      <c r="J428" s="4">
        <v>4</v>
      </c>
      <c r="K428" s="4">
        <v>2011</v>
      </c>
      <c r="M428" s="11" t="s">
        <v>9</v>
      </c>
      <c r="O428" s="4">
        <v>6.7708333333333301E-2</v>
      </c>
      <c r="P428" s="4">
        <v>6.7708333333333301E-2</v>
      </c>
      <c r="Q428" s="4">
        <f>(P428-P427)/P427</f>
        <v>5.7708333333333295</v>
      </c>
      <c r="R428" s="4">
        <v>13</v>
      </c>
      <c r="S428" s="3">
        <v>40640</v>
      </c>
      <c r="T428" s="2">
        <f>IF(N428&gt;0,1,0)</f>
        <v>0</v>
      </c>
    </row>
    <row r="429" spans="1:20" x14ac:dyDescent="0.2">
      <c r="A429" s="6">
        <v>428</v>
      </c>
      <c r="B429" s="3">
        <v>40648</v>
      </c>
      <c r="C429" s="4">
        <v>0.11441073592545301</v>
      </c>
      <c r="D429" s="4">
        <v>0.10524665440122299</v>
      </c>
      <c r="E429" s="4">
        <v>191.8</v>
      </c>
      <c r="F429" s="4">
        <v>7</v>
      </c>
      <c r="G429" s="4">
        <v>29.150390625</v>
      </c>
      <c r="H429" s="4">
        <v>3.6496350364963501E-2</v>
      </c>
      <c r="I429" s="4">
        <v>0</v>
      </c>
      <c r="J429" s="4">
        <v>4</v>
      </c>
      <c r="K429" s="4">
        <v>2011</v>
      </c>
      <c r="M429" s="11"/>
      <c r="O429" s="4">
        <v>3.6496350364963501E-2</v>
      </c>
      <c r="P429" s="4">
        <v>3.6496350364963501E-2</v>
      </c>
      <c r="Q429" s="4">
        <f>(P429-P428)/P428</f>
        <v>-0.46097697922515418</v>
      </c>
      <c r="R429" s="4">
        <v>14</v>
      </c>
      <c r="S429" s="3">
        <v>40648</v>
      </c>
      <c r="T429" s="2">
        <f>IF(N429&gt;0,1,0)</f>
        <v>0</v>
      </c>
    </row>
    <row r="430" spans="1:20" x14ac:dyDescent="0.2">
      <c r="A430" s="6">
        <v>429</v>
      </c>
      <c r="B430" s="3">
        <v>40656</v>
      </c>
      <c r="C430" s="4">
        <v>0.12888720807515899</v>
      </c>
      <c r="D430" s="4">
        <v>0.12193142622709301</v>
      </c>
      <c r="E430" s="4">
        <v>192</v>
      </c>
      <c r="F430" s="4">
        <v>0</v>
      </c>
      <c r="G430" s="4">
        <v>29.098541666666701</v>
      </c>
      <c r="H430" s="4">
        <v>0</v>
      </c>
      <c r="I430" s="4">
        <v>0</v>
      </c>
      <c r="J430" s="4">
        <v>4</v>
      </c>
      <c r="K430" s="4">
        <v>2011</v>
      </c>
      <c r="M430" s="11"/>
      <c r="O430" s="4">
        <v>0.01</v>
      </c>
      <c r="P430" s="4">
        <v>0.01</v>
      </c>
      <c r="Q430" s="4">
        <f>(P430-P429)/P429</f>
        <v>-0.72599999999999998</v>
      </c>
      <c r="R430" s="4">
        <v>15</v>
      </c>
      <c r="S430" s="3">
        <v>40656</v>
      </c>
      <c r="T430" s="2">
        <f>IF(N430&gt;0,1,0)</f>
        <v>0</v>
      </c>
    </row>
    <row r="431" spans="1:20" x14ac:dyDescent="0.2">
      <c r="A431" s="6">
        <v>430</v>
      </c>
      <c r="B431" s="3">
        <v>40664</v>
      </c>
      <c r="C431" s="4">
        <v>0.13141213545015601</v>
      </c>
      <c r="D431" s="4">
        <v>0.124265593787034</v>
      </c>
      <c r="E431" s="4">
        <v>192</v>
      </c>
      <c r="F431" s="4">
        <v>0</v>
      </c>
      <c r="G431" s="4">
        <v>28.872213541666699</v>
      </c>
      <c r="H431" s="4">
        <v>0</v>
      </c>
      <c r="I431" s="4">
        <v>0</v>
      </c>
      <c r="J431" s="4">
        <v>5</v>
      </c>
      <c r="K431" s="4">
        <v>2011</v>
      </c>
      <c r="M431" s="11" t="s">
        <v>8</v>
      </c>
      <c r="O431" s="4">
        <v>0.01</v>
      </c>
      <c r="P431" s="4">
        <v>0.01</v>
      </c>
      <c r="Q431" s="4">
        <f>(P431-P430)/P430</f>
        <v>0</v>
      </c>
      <c r="R431" s="4">
        <v>16</v>
      </c>
      <c r="S431" s="3">
        <v>40664</v>
      </c>
      <c r="T431" s="2">
        <f>IF(N431&gt;0,1,0)</f>
        <v>0</v>
      </c>
    </row>
    <row r="432" spans="1:20" x14ac:dyDescent="0.2">
      <c r="A432" s="6">
        <v>431</v>
      </c>
      <c r="B432" s="3">
        <v>40672</v>
      </c>
      <c r="C432" s="4">
        <v>0.109024699415184</v>
      </c>
      <c r="D432" s="4">
        <v>0.10117707401514101</v>
      </c>
      <c r="E432" s="4">
        <v>192</v>
      </c>
      <c r="F432" s="4">
        <v>0</v>
      </c>
      <c r="G432" s="4">
        <v>29.1130989583333</v>
      </c>
      <c r="H432" s="4">
        <v>0</v>
      </c>
      <c r="I432" s="4">
        <v>0</v>
      </c>
      <c r="J432" s="4">
        <v>5</v>
      </c>
      <c r="K432" s="4">
        <v>2011</v>
      </c>
      <c r="M432" s="11"/>
      <c r="O432" s="4">
        <v>0.01</v>
      </c>
      <c r="P432" s="4">
        <v>0.01</v>
      </c>
      <c r="Q432" s="4">
        <f>(P432-P431)/P431</f>
        <v>0</v>
      </c>
      <c r="R432" s="4">
        <v>17</v>
      </c>
      <c r="S432" s="3">
        <v>40672</v>
      </c>
      <c r="T432" s="2">
        <f>IF(N432&gt;0,1,0)</f>
        <v>0</v>
      </c>
    </row>
    <row r="433" spans="1:20" x14ac:dyDescent="0.2">
      <c r="A433" s="6">
        <v>432</v>
      </c>
      <c r="B433" s="3">
        <v>40680</v>
      </c>
      <c r="C433" s="4">
        <v>9.4515686337318702E-2</v>
      </c>
      <c r="D433" s="4">
        <v>8.2178088525931003E-2</v>
      </c>
      <c r="E433" s="4">
        <v>192</v>
      </c>
      <c r="F433" s="4">
        <v>0</v>
      </c>
      <c r="G433" s="4">
        <v>28.926015625000002</v>
      </c>
      <c r="H433" s="4">
        <v>0</v>
      </c>
      <c r="I433" s="4">
        <v>0</v>
      </c>
      <c r="J433" s="4">
        <v>5</v>
      </c>
      <c r="K433" s="4">
        <v>2011</v>
      </c>
      <c r="M433" s="11"/>
      <c r="O433" s="4">
        <v>0.01</v>
      </c>
      <c r="P433" s="4">
        <v>0.01</v>
      </c>
      <c r="Q433" s="4">
        <f>(P433-P432)/P432</f>
        <v>0</v>
      </c>
      <c r="R433" s="4">
        <v>18</v>
      </c>
      <c r="S433" s="3">
        <v>40680</v>
      </c>
      <c r="T433" s="2">
        <f>IF(N433&gt;0,1,0)</f>
        <v>0</v>
      </c>
    </row>
    <row r="434" spans="1:20" x14ac:dyDescent="0.2">
      <c r="A434" s="6">
        <v>433</v>
      </c>
      <c r="B434" s="3">
        <v>40688</v>
      </c>
      <c r="C434" s="4">
        <v>0.112031916725553</v>
      </c>
      <c r="D434" s="4">
        <v>0.102298715462287</v>
      </c>
      <c r="E434" s="4">
        <v>192</v>
      </c>
      <c r="F434" s="4">
        <v>0</v>
      </c>
      <c r="G434" s="4">
        <v>28.571536458333298</v>
      </c>
      <c r="H434" s="4">
        <v>0</v>
      </c>
      <c r="I434" s="4">
        <v>0</v>
      </c>
      <c r="J434" s="4">
        <v>5</v>
      </c>
      <c r="K434" s="4">
        <v>2011</v>
      </c>
      <c r="M434" s="11"/>
      <c r="O434" s="4">
        <v>0.01</v>
      </c>
      <c r="P434" s="4">
        <v>0.01</v>
      </c>
      <c r="Q434" s="4">
        <f>(P434-P433)/P433</f>
        <v>0</v>
      </c>
      <c r="R434" s="4">
        <v>19</v>
      </c>
      <c r="S434" s="3">
        <v>40688</v>
      </c>
      <c r="T434" s="2">
        <f>IF(N434&gt;0,1,0)</f>
        <v>0</v>
      </c>
    </row>
    <row r="435" spans="1:20" x14ac:dyDescent="0.2">
      <c r="A435" s="6">
        <v>434</v>
      </c>
      <c r="B435" s="3">
        <v>40696</v>
      </c>
      <c r="C435" s="4">
        <v>0.16100434201859701</v>
      </c>
      <c r="D435" s="4">
        <v>0.16046097874641399</v>
      </c>
      <c r="E435" s="4">
        <v>192</v>
      </c>
      <c r="F435" s="4">
        <v>0</v>
      </c>
      <c r="G435" s="4">
        <v>28.135078125</v>
      </c>
      <c r="H435" s="4">
        <v>0</v>
      </c>
      <c r="I435" s="4">
        <v>2.0833333333333301E-2</v>
      </c>
      <c r="J435" s="4">
        <v>6</v>
      </c>
      <c r="K435" s="4">
        <v>2011</v>
      </c>
      <c r="M435" s="11" t="s">
        <v>7</v>
      </c>
      <c r="O435" s="4">
        <v>0.01</v>
      </c>
      <c r="P435" s="4">
        <v>0.01</v>
      </c>
      <c r="Q435" s="4">
        <f>(P435-P434)/P434</f>
        <v>0</v>
      </c>
      <c r="R435" s="4">
        <v>20</v>
      </c>
      <c r="S435" s="3">
        <v>40696</v>
      </c>
      <c r="T435" s="2">
        <f>IF(N435&gt;0,1,0)</f>
        <v>0</v>
      </c>
    </row>
    <row r="436" spans="1:20" x14ac:dyDescent="0.2">
      <c r="A436" s="6">
        <v>435</v>
      </c>
      <c r="B436" s="3">
        <v>40704</v>
      </c>
      <c r="C436" s="4">
        <v>0.17454016457001401</v>
      </c>
      <c r="D436" s="4">
        <v>0.14638764411211</v>
      </c>
      <c r="E436" s="4">
        <v>192</v>
      </c>
      <c r="F436" s="4">
        <v>4</v>
      </c>
      <c r="G436" s="4">
        <v>27.700572916666701</v>
      </c>
      <c r="H436" s="4">
        <v>2.0833333333333301E-2</v>
      </c>
      <c r="I436" s="4">
        <v>0</v>
      </c>
      <c r="J436" s="4">
        <v>6</v>
      </c>
      <c r="K436" s="4">
        <v>2011</v>
      </c>
      <c r="M436" s="11"/>
      <c r="O436" s="4">
        <v>2.0833333333333301E-2</v>
      </c>
      <c r="P436" s="4">
        <v>2.0833333333333301E-2</v>
      </c>
      <c r="Q436" s="4">
        <f>(P436-P435)/P435</f>
        <v>1.0833333333333302</v>
      </c>
      <c r="R436" s="4">
        <v>21</v>
      </c>
      <c r="S436" s="3">
        <v>40704</v>
      </c>
      <c r="T436" s="2">
        <f>IF(N436&gt;0,1,0)</f>
        <v>0</v>
      </c>
    </row>
    <row r="437" spans="1:20" x14ac:dyDescent="0.2">
      <c r="A437" s="6">
        <v>436</v>
      </c>
      <c r="B437" s="3">
        <v>40712</v>
      </c>
      <c r="C437" s="4">
        <v>0.20536056160926799</v>
      </c>
      <c r="D437" s="4">
        <v>0.16818913817405701</v>
      </c>
      <c r="E437" s="4">
        <v>192</v>
      </c>
      <c r="F437" s="4">
        <v>0</v>
      </c>
      <c r="G437" s="4">
        <v>27.681588541666699</v>
      </c>
      <c r="H437" s="4">
        <v>0</v>
      </c>
      <c r="I437" s="4">
        <v>0.11413043478260899</v>
      </c>
      <c r="J437" s="4">
        <v>6</v>
      </c>
      <c r="K437" s="4">
        <v>2011</v>
      </c>
      <c r="M437" s="11"/>
      <c r="O437" s="4">
        <v>0.01</v>
      </c>
      <c r="P437" s="4">
        <v>0.01</v>
      </c>
      <c r="Q437" s="4">
        <f>(P437-P436)/P436</f>
        <v>-0.51999999999999924</v>
      </c>
      <c r="R437" s="4">
        <v>22</v>
      </c>
      <c r="S437" s="3">
        <v>40712</v>
      </c>
      <c r="T437" s="2">
        <f>IF(N437&gt;0,1,0)</f>
        <v>0</v>
      </c>
    </row>
    <row r="438" spans="1:20" x14ac:dyDescent="0.2">
      <c r="A438" s="6">
        <v>437</v>
      </c>
      <c r="B438" s="3">
        <v>40720</v>
      </c>
      <c r="C438" s="4">
        <v>0.211071793151938</v>
      </c>
      <c r="D438" s="4">
        <v>0.16302833706140499</v>
      </c>
      <c r="E438" s="4">
        <v>184</v>
      </c>
      <c r="F438" s="4">
        <v>21</v>
      </c>
      <c r="G438" s="4">
        <v>27.654765625</v>
      </c>
      <c r="H438" s="4">
        <v>0.11413043478260899</v>
      </c>
      <c r="I438" s="4">
        <v>0.26041666666666702</v>
      </c>
      <c r="J438" s="4">
        <v>6</v>
      </c>
      <c r="K438" s="4">
        <v>2011</v>
      </c>
      <c r="M438" s="11"/>
      <c r="O438" s="4">
        <v>0.11413043478260899</v>
      </c>
      <c r="P438" s="4">
        <v>0.11413043478260899</v>
      </c>
      <c r="Q438" s="4">
        <f>(P438-P437)/P437</f>
        <v>10.413043478260899</v>
      </c>
      <c r="R438" s="4">
        <v>23</v>
      </c>
      <c r="S438" s="3">
        <v>40720</v>
      </c>
      <c r="T438" s="2">
        <f>IF(N438&gt;0,1,0)</f>
        <v>0</v>
      </c>
    </row>
    <row r="439" spans="1:20" x14ac:dyDescent="0.2">
      <c r="A439" s="6">
        <v>438</v>
      </c>
      <c r="B439" s="3">
        <v>40728</v>
      </c>
      <c r="C439" s="4">
        <v>0.18028869340574799</v>
      </c>
      <c r="D439" s="4">
        <v>0.151913613080978</v>
      </c>
      <c r="E439" s="4">
        <v>192</v>
      </c>
      <c r="F439" s="4">
        <v>50</v>
      </c>
      <c r="G439" s="4">
        <v>27.594505208333299</v>
      </c>
      <c r="H439" s="4">
        <v>0.26041666666666702</v>
      </c>
      <c r="I439" s="4">
        <v>4.1666666666666699E-2</v>
      </c>
      <c r="J439" s="4">
        <v>7</v>
      </c>
      <c r="K439" s="4">
        <v>2011</v>
      </c>
      <c r="M439" s="11" t="s">
        <v>6</v>
      </c>
      <c r="O439" s="4">
        <v>0.26041666666666702</v>
      </c>
      <c r="P439" s="4">
        <v>0.26041666666666702</v>
      </c>
      <c r="Q439" s="4">
        <f>(P439-P438)/P438</f>
        <v>1.281746031746029</v>
      </c>
      <c r="R439" s="4">
        <v>24</v>
      </c>
      <c r="S439" s="3">
        <v>40728</v>
      </c>
      <c r="T439" s="2">
        <f>IF(N439&gt;0,1,0)</f>
        <v>0</v>
      </c>
    </row>
    <row r="440" spans="1:20" x14ac:dyDescent="0.2">
      <c r="A440" s="6">
        <v>439</v>
      </c>
      <c r="B440" s="3">
        <v>40736</v>
      </c>
      <c r="C440" s="4">
        <v>0.180163755702476</v>
      </c>
      <c r="D440" s="4">
        <v>0.14460475494464201</v>
      </c>
      <c r="E440" s="4">
        <v>192</v>
      </c>
      <c r="F440" s="4">
        <v>8</v>
      </c>
      <c r="G440" s="4">
        <v>27.0060416666667</v>
      </c>
      <c r="H440" s="4">
        <v>4.1666666666666699E-2</v>
      </c>
      <c r="I440" s="4">
        <v>0</v>
      </c>
      <c r="J440" s="4">
        <v>7</v>
      </c>
      <c r="K440" s="4">
        <v>2011</v>
      </c>
      <c r="M440" s="11"/>
      <c r="O440" s="4">
        <v>4.1666666666666699E-2</v>
      </c>
      <c r="P440" s="4">
        <v>4.1666666666666699E-2</v>
      </c>
      <c r="Q440" s="4">
        <f>(P440-P439)/P439</f>
        <v>-0.84000000000000019</v>
      </c>
      <c r="R440" s="4">
        <v>25</v>
      </c>
      <c r="S440" s="3">
        <v>40736</v>
      </c>
      <c r="T440" s="2">
        <f>IF(N440&gt;0,1,0)</f>
        <v>0</v>
      </c>
    </row>
    <row r="441" spans="1:20" x14ac:dyDescent="0.2">
      <c r="A441" s="6">
        <v>440</v>
      </c>
      <c r="B441" s="3">
        <v>40744</v>
      </c>
      <c r="C441" s="4">
        <v>0.22552620170309301</v>
      </c>
      <c r="D441" s="4">
        <v>0.20020658771197</v>
      </c>
      <c r="E441" s="4">
        <v>192</v>
      </c>
      <c r="F441" s="4">
        <v>0</v>
      </c>
      <c r="G441" s="4">
        <v>26.826015625</v>
      </c>
      <c r="H441" s="4">
        <v>0</v>
      </c>
      <c r="I441" s="4">
        <v>0.38020833333333298</v>
      </c>
      <c r="J441" s="4">
        <v>7</v>
      </c>
      <c r="K441" s="4">
        <v>2011</v>
      </c>
      <c r="M441" s="11"/>
      <c r="O441" s="4">
        <v>0.01</v>
      </c>
      <c r="P441" s="4">
        <v>0.01</v>
      </c>
      <c r="Q441" s="4">
        <f>(P441-P440)/P440</f>
        <v>-0.76000000000000012</v>
      </c>
      <c r="R441" s="4">
        <v>26</v>
      </c>
      <c r="S441" s="3">
        <v>40744</v>
      </c>
      <c r="T441" s="2">
        <f>IF(N441&gt;0,1,0)</f>
        <v>0</v>
      </c>
    </row>
    <row r="442" spans="1:20" x14ac:dyDescent="0.2">
      <c r="A442" s="6">
        <v>441</v>
      </c>
      <c r="B442" s="3">
        <v>40752</v>
      </c>
      <c r="C442" s="4">
        <v>0.178288528496133</v>
      </c>
      <c r="D442" s="4">
        <v>0.181344535201788</v>
      </c>
      <c r="E442" s="4">
        <v>192</v>
      </c>
      <c r="F442" s="4">
        <v>73</v>
      </c>
      <c r="G442" s="4">
        <v>27.0136979166667</v>
      </c>
      <c r="H442" s="4">
        <v>0.38020833333333298</v>
      </c>
      <c r="I442" s="4">
        <v>0</v>
      </c>
      <c r="J442" s="4">
        <v>7</v>
      </c>
      <c r="K442" s="4">
        <v>2011</v>
      </c>
      <c r="M442" s="11"/>
      <c r="O442" s="4">
        <v>0.38020833333333298</v>
      </c>
      <c r="P442" s="4">
        <v>0.38020833333333298</v>
      </c>
      <c r="Q442" s="4">
        <f>(P442-P441)/P441</f>
        <v>37.020833333333293</v>
      </c>
      <c r="R442" s="4">
        <v>27</v>
      </c>
      <c r="S442" s="3">
        <v>40752</v>
      </c>
      <c r="T442" s="2">
        <f>IF(N442&gt;0,1,0)</f>
        <v>0</v>
      </c>
    </row>
    <row r="443" spans="1:20" x14ac:dyDescent="0.2">
      <c r="A443" s="6">
        <v>442</v>
      </c>
      <c r="B443" s="3">
        <v>40760</v>
      </c>
      <c r="C443" s="4">
        <v>0.228437468301559</v>
      </c>
      <c r="D443" s="4">
        <v>0.201209132870038</v>
      </c>
      <c r="E443" s="4">
        <v>192</v>
      </c>
      <c r="F443" s="4">
        <v>0</v>
      </c>
      <c r="G443" s="4">
        <v>26.9350520833333</v>
      </c>
      <c r="H443" s="4">
        <v>0</v>
      </c>
      <c r="I443" s="4">
        <v>5.2083333333333296E-3</v>
      </c>
      <c r="J443" s="4">
        <v>8</v>
      </c>
      <c r="K443" s="4">
        <v>2011</v>
      </c>
      <c r="M443" s="11" t="s">
        <v>5</v>
      </c>
      <c r="O443" s="4">
        <v>0.01</v>
      </c>
      <c r="P443" s="4">
        <v>0.01</v>
      </c>
      <c r="Q443" s="4">
        <f>(P443-P442)/P442</f>
        <v>-0.97369863013698621</v>
      </c>
      <c r="R443" s="4">
        <v>28</v>
      </c>
      <c r="S443" s="3">
        <v>40760</v>
      </c>
      <c r="T443" s="2">
        <f>IF(N443&gt;0,1,0)</f>
        <v>0</v>
      </c>
    </row>
    <row r="444" spans="1:20" x14ac:dyDescent="0.2">
      <c r="A444" s="6">
        <v>443</v>
      </c>
      <c r="B444" s="3">
        <v>40768</v>
      </c>
      <c r="C444" s="4">
        <v>0.24054325307448099</v>
      </c>
      <c r="D444" s="4">
        <v>0.25077273448308302</v>
      </c>
      <c r="E444" s="4">
        <v>192</v>
      </c>
      <c r="F444" s="4">
        <v>1</v>
      </c>
      <c r="G444" s="4">
        <v>27.2299739583333</v>
      </c>
      <c r="H444" s="4">
        <v>5.2083333333333296E-3</v>
      </c>
      <c r="I444" s="4">
        <v>0.13541666666666699</v>
      </c>
      <c r="J444" s="4">
        <v>8</v>
      </c>
      <c r="K444" s="4">
        <v>2011</v>
      </c>
      <c r="M444" s="11"/>
      <c r="O444" s="4">
        <v>5.2083333333333296E-3</v>
      </c>
      <c r="P444" s="4">
        <v>5.2083333333333296E-3</v>
      </c>
      <c r="Q444" s="4">
        <f>(P444-P443)/P443</f>
        <v>-0.47916666666666707</v>
      </c>
      <c r="R444" s="4">
        <v>29</v>
      </c>
      <c r="S444" s="3">
        <v>40768</v>
      </c>
      <c r="T444" s="2">
        <f>IF(N444&gt;0,1,0)</f>
        <v>0</v>
      </c>
    </row>
    <row r="445" spans="1:20" x14ac:dyDescent="0.2">
      <c r="A445" s="6">
        <v>444</v>
      </c>
      <c r="B445" s="3">
        <v>40776</v>
      </c>
      <c r="C445" s="4">
        <v>0.17163546642081601</v>
      </c>
      <c r="D445" s="4">
        <v>0.14801183342933699</v>
      </c>
      <c r="E445" s="4">
        <v>192</v>
      </c>
      <c r="F445" s="4">
        <v>26</v>
      </c>
      <c r="G445" s="4">
        <v>27.468697916666699</v>
      </c>
      <c r="H445" s="4">
        <v>0.13541666666666699</v>
      </c>
      <c r="I445" s="4">
        <v>7.8125E-2</v>
      </c>
      <c r="J445" s="4">
        <v>8</v>
      </c>
      <c r="K445" s="4">
        <v>2011</v>
      </c>
      <c r="M445" s="11"/>
      <c r="O445" s="4">
        <v>0.13541666666666699</v>
      </c>
      <c r="P445" s="4">
        <v>0.13541666666666699</v>
      </c>
      <c r="Q445" s="4">
        <f>(P445-P444)/P444</f>
        <v>25.000000000000078</v>
      </c>
      <c r="R445" s="4">
        <v>30</v>
      </c>
      <c r="S445" s="3">
        <v>40776</v>
      </c>
      <c r="T445" s="2">
        <f>IF(N445&gt;0,1,0)</f>
        <v>0</v>
      </c>
    </row>
    <row r="446" spans="1:20" x14ac:dyDescent="0.2">
      <c r="A446" s="6">
        <v>445</v>
      </c>
      <c r="B446" s="3">
        <v>40784</v>
      </c>
      <c r="C446" s="4">
        <v>0.15768777518659</v>
      </c>
      <c r="D446" s="4">
        <v>0.165091201663017</v>
      </c>
      <c r="E446" s="4">
        <v>192</v>
      </c>
      <c r="F446" s="4">
        <v>15</v>
      </c>
      <c r="G446" s="4">
        <v>27.586484375000001</v>
      </c>
      <c r="H446" s="4">
        <v>7.8125E-2</v>
      </c>
      <c r="I446" s="4">
        <v>5.2083333333333296E-3</v>
      </c>
      <c r="J446" s="4">
        <v>8</v>
      </c>
      <c r="K446" s="4">
        <v>2011</v>
      </c>
      <c r="M446" s="11"/>
      <c r="O446" s="4">
        <v>7.8125E-2</v>
      </c>
      <c r="P446" s="4">
        <v>7.8125E-2</v>
      </c>
      <c r="Q446" s="4">
        <f>(P446-P445)/P445</f>
        <v>-0.42307692307692446</v>
      </c>
      <c r="R446" s="4">
        <v>31</v>
      </c>
      <c r="S446" s="3">
        <v>40784</v>
      </c>
      <c r="T446" s="2">
        <f>IF(N446&gt;0,1,0)</f>
        <v>0</v>
      </c>
    </row>
    <row r="447" spans="1:20" x14ac:dyDescent="0.2">
      <c r="A447" s="6">
        <v>446</v>
      </c>
      <c r="B447" s="3">
        <v>40792</v>
      </c>
      <c r="C447" s="4">
        <v>0.138850348784511</v>
      </c>
      <c r="D447" s="4">
        <v>0.11094337701797501</v>
      </c>
      <c r="E447" s="4">
        <v>192</v>
      </c>
      <c r="F447" s="4">
        <v>1</v>
      </c>
      <c r="G447" s="4">
        <v>27.860703125000001</v>
      </c>
      <c r="H447" s="4">
        <v>5.2083333333333296E-3</v>
      </c>
      <c r="I447" s="4">
        <v>0.390625</v>
      </c>
      <c r="J447" s="4">
        <v>9</v>
      </c>
      <c r="K447" s="4">
        <v>2011</v>
      </c>
      <c r="M447" s="11" t="s">
        <v>4</v>
      </c>
      <c r="O447" s="4">
        <v>5.2083333333333296E-3</v>
      </c>
      <c r="P447" s="4">
        <v>5.2083333333333296E-3</v>
      </c>
      <c r="Q447" s="4">
        <f>(P447-P446)/P446</f>
        <v>-0.93333333333333335</v>
      </c>
      <c r="R447" s="4">
        <v>32</v>
      </c>
      <c r="S447" s="3">
        <v>40792</v>
      </c>
      <c r="T447" s="2">
        <f>IF(N447&gt;0,1,0)</f>
        <v>0</v>
      </c>
    </row>
    <row r="448" spans="1:20" x14ac:dyDescent="0.2">
      <c r="A448" s="6">
        <v>447</v>
      </c>
      <c r="B448" s="3">
        <v>40800</v>
      </c>
      <c r="C448" s="4" t="s">
        <v>0</v>
      </c>
      <c r="D448" s="4" t="s">
        <v>0</v>
      </c>
      <c r="E448" s="4">
        <v>192</v>
      </c>
      <c r="F448" s="4">
        <v>75</v>
      </c>
      <c r="G448" s="4">
        <v>28.192890625</v>
      </c>
      <c r="H448" s="4">
        <v>0.390625</v>
      </c>
      <c r="I448" s="4">
        <v>0.328125</v>
      </c>
      <c r="J448" s="4">
        <v>9</v>
      </c>
      <c r="K448" s="4">
        <v>2011</v>
      </c>
      <c r="M448" s="11"/>
      <c r="O448" s="4">
        <v>0.390625</v>
      </c>
      <c r="P448" s="4">
        <v>0.390625</v>
      </c>
      <c r="Q448" s="4">
        <f>(P448-P447)/P447</f>
        <v>74.000000000000057</v>
      </c>
      <c r="R448" s="4">
        <v>33</v>
      </c>
      <c r="S448" s="3">
        <v>40800</v>
      </c>
      <c r="T448" s="2">
        <f>IF(N448&gt;0,1,0)</f>
        <v>0</v>
      </c>
    </row>
    <row r="449" spans="1:20" x14ac:dyDescent="0.2">
      <c r="A449" s="6">
        <v>448</v>
      </c>
      <c r="B449" s="3">
        <v>40808</v>
      </c>
      <c r="C449" s="4">
        <v>0.155757474423457</v>
      </c>
      <c r="D449" s="4">
        <v>0.12014238412181499</v>
      </c>
      <c r="E449" s="4">
        <v>192</v>
      </c>
      <c r="F449" s="4">
        <v>63</v>
      </c>
      <c r="G449" s="4">
        <v>28.225520833333299</v>
      </c>
      <c r="H449" s="4">
        <v>0.328125</v>
      </c>
      <c r="I449" s="4">
        <v>0.140625</v>
      </c>
      <c r="J449" s="4">
        <v>9</v>
      </c>
      <c r="K449" s="4">
        <v>2011</v>
      </c>
      <c r="M449" s="11"/>
      <c r="O449" s="4">
        <v>0.328125</v>
      </c>
      <c r="P449" s="4">
        <v>0.328125</v>
      </c>
      <c r="Q449" s="4">
        <f>(P449-P448)/P448</f>
        <v>-0.16</v>
      </c>
      <c r="R449" s="4">
        <v>34</v>
      </c>
      <c r="S449" s="3">
        <v>40808</v>
      </c>
      <c r="T449" s="2">
        <f>IF(N449&gt;0,1,0)</f>
        <v>0</v>
      </c>
    </row>
    <row r="450" spans="1:20" x14ac:dyDescent="0.2">
      <c r="A450" s="6">
        <v>449</v>
      </c>
      <c r="B450" s="3">
        <v>40816</v>
      </c>
      <c r="C450" s="4">
        <v>0.11876038786384401</v>
      </c>
      <c r="D450" s="4">
        <v>8.6077552288770703E-2</v>
      </c>
      <c r="E450" s="4">
        <v>192</v>
      </c>
      <c r="F450" s="4">
        <v>27</v>
      </c>
      <c r="G450" s="4">
        <v>28.141718749999999</v>
      </c>
      <c r="H450" s="4">
        <v>0.140625</v>
      </c>
      <c r="I450" s="4">
        <v>0.35416666666666702</v>
      </c>
      <c r="J450" s="4">
        <v>9</v>
      </c>
      <c r="K450" s="4">
        <v>2011</v>
      </c>
      <c r="M450" s="11"/>
      <c r="O450" s="4">
        <v>0.140625</v>
      </c>
      <c r="P450" s="4">
        <v>0.140625</v>
      </c>
      <c r="Q450" s="4">
        <f>(P450-P449)/P449</f>
        <v>-0.5714285714285714</v>
      </c>
      <c r="R450" s="4">
        <v>35</v>
      </c>
      <c r="S450" s="3">
        <v>40816</v>
      </c>
      <c r="T450" s="2">
        <f>IF(N450&gt;0,1,0)</f>
        <v>0</v>
      </c>
    </row>
    <row r="451" spans="1:20" x14ac:dyDescent="0.2">
      <c r="A451" s="6">
        <v>450</v>
      </c>
      <c r="B451" s="7">
        <v>40824</v>
      </c>
      <c r="C451" s="4">
        <v>0.130174294528034</v>
      </c>
      <c r="D451" s="4">
        <v>0.116588169087966</v>
      </c>
      <c r="E451" s="4">
        <v>192</v>
      </c>
      <c r="F451" s="4">
        <v>68</v>
      </c>
      <c r="G451" s="4">
        <v>28.333385416666701</v>
      </c>
      <c r="H451" s="4">
        <v>0.35416666666666702</v>
      </c>
      <c r="I451" s="4">
        <v>0.23958333333333301</v>
      </c>
      <c r="J451" s="4">
        <v>10</v>
      </c>
      <c r="K451" s="4">
        <v>2011</v>
      </c>
      <c r="M451" s="11" t="s">
        <v>3</v>
      </c>
      <c r="O451" s="4">
        <v>0.35416666666666702</v>
      </c>
      <c r="P451" s="4">
        <v>0.35416666666666702</v>
      </c>
      <c r="Q451" s="4">
        <f>(P451-P450)/P450</f>
        <v>1.518518518518521</v>
      </c>
      <c r="R451" s="4">
        <v>36</v>
      </c>
      <c r="S451" s="3">
        <v>40824</v>
      </c>
      <c r="T451" s="2">
        <f>IF(N451&gt;0,1,0)</f>
        <v>0</v>
      </c>
    </row>
    <row r="452" spans="1:20" x14ac:dyDescent="0.2">
      <c r="A452" s="6">
        <v>451</v>
      </c>
      <c r="B452" s="3">
        <v>40832</v>
      </c>
      <c r="C452" s="4">
        <v>0.12317861704569701</v>
      </c>
      <c r="D452" s="4">
        <v>0.108320890615384</v>
      </c>
      <c r="E452" s="4">
        <v>192</v>
      </c>
      <c r="F452" s="4">
        <v>46</v>
      </c>
      <c r="G452" s="4">
        <v>28.821822916666701</v>
      </c>
      <c r="H452" s="4">
        <v>0.23958333333333301</v>
      </c>
      <c r="I452" s="4">
        <v>0.83854166666666696</v>
      </c>
      <c r="J452" s="4">
        <v>10</v>
      </c>
      <c r="K452" s="4">
        <v>2011</v>
      </c>
      <c r="M452" s="11"/>
      <c r="O452" s="4">
        <v>0.23958333333333301</v>
      </c>
      <c r="P452" s="4">
        <v>0.23958333333333301</v>
      </c>
      <c r="Q452" s="4">
        <f>(P452-P451)/P451</f>
        <v>-0.32352941176470745</v>
      </c>
      <c r="R452" s="4">
        <v>37</v>
      </c>
      <c r="S452" s="3">
        <v>40832</v>
      </c>
      <c r="T452" s="2">
        <f>IF(N452&gt;0,1,0)</f>
        <v>0</v>
      </c>
    </row>
    <row r="453" spans="1:20" x14ac:dyDescent="0.2">
      <c r="A453" s="6">
        <v>452</v>
      </c>
      <c r="B453" s="3">
        <v>40840</v>
      </c>
      <c r="C453" s="4">
        <v>0.106514280503418</v>
      </c>
      <c r="D453" s="4">
        <v>7.54530504345894E-2</v>
      </c>
      <c r="E453" s="4">
        <v>192</v>
      </c>
      <c r="F453" s="4">
        <v>161</v>
      </c>
      <c r="G453" s="4">
        <v>28.935026041666699</v>
      </c>
      <c r="H453" s="4">
        <v>0.83854166666666696</v>
      </c>
      <c r="I453" s="4">
        <v>0.93229166666666696</v>
      </c>
      <c r="J453" s="4">
        <v>10</v>
      </c>
      <c r="K453" s="4">
        <v>2011</v>
      </c>
      <c r="M453" s="11"/>
      <c r="N453" s="4">
        <v>0.83854166666666696</v>
      </c>
      <c r="P453" s="4">
        <v>0.83854166666666696</v>
      </c>
      <c r="Q453" s="8">
        <f>(P453-P452)/P452</f>
        <v>2.5000000000000058</v>
      </c>
      <c r="R453" s="4">
        <v>38</v>
      </c>
      <c r="S453" s="10">
        <v>40840</v>
      </c>
      <c r="T453" s="2">
        <f>IF(N453&gt;0,1,0)</f>
        <v>1</v>
      </c>
    </row>
    <row r="454" spans="1:20" x14ac:dyDescent="0.2">
      <c r="A454" s="6">
        <v>453</v>
      </c>
      <c r="B454" s="3">
        <v>40848</v>
      </c>
      <c r="C454" s="4">
        <v>9.44641074165702E-2</v>
      </c>
      <c r="D454" s="4">
        <v>8.0286322782436997E-2</v>
      </c>
      <c r="E454" s="4">
        <v>192</v>
      </c>
      <c r="F454" s="4">
        <v>179</v>
      </c>
      <c r="G454" s="4">
        <v>29.022526041666701</v>
      </c>
      <c r="H454" s="4">
        <v>0.93229166666666696</v>
      </c>
      <c r="I454" s="4">
        <v>0.734375</v>
      </c>
      <c r="J454" s="4">
        <v>11</v>
      </c>
      <c r="K454" s="4">
        <v>2011</v>
      </c>
      <c r="M454" s="11" t="s">
        <v>2</v>
      </c>
      <c r="N454" s="4">
        <v>0.93229166666666696</v>
      </c>
      <c r="P454" s="4">
        <v>0.93229166666666696</v>
      </c>
      <c r="Q454" s="4">
        <f>(P454-P453)/P453</f>
        <v>0.11180124223602481</v>
      </c>
      <c r="R454" s="4">
        <v>39</v>
      </c>
      <c r="S454" s="3">
        <v>40848</v>
      </c>
      <c r="T454" s="2">
        <f>IF(N454&gt;0,1,0)</f>
        <v>1</v>
      </c>
    </row>
    <row r="455" spans="1:20" x14ac:dyDescent="0.2">
      <c r="A455" s="6">
        <v>454</v>
      </c>
      <c r="B455" s="3">
        <v>40856</v>
      </c>
      <c r="C455" s="4">
        <v>9.7737936321461494E-2</v>
      </c>
      <c r="D455" s="4">
        <v>9.6143409609794603E-2</v>
      </c>
      <c r="E455" s="4">
        <v>192</v>
      </c>
      <c r="F455" s="4">
        <v>141</v>
      </c>
      <c r="G455" s="4">
        <v>29.136848958333299</v>
      </c>
      <c r="H455" s="4">
        <v>0.734375</v>
      </c>
      <c r="I455" s="4">
        <v>0.92708333333333304</v>
      </c>
      <c r="J455" s="4">
        <v>11</v>
      </c>
      <c r="K455" s="4">
        <v>2011</v>
      </c>
      <c r="M455" s="11"/>
      <c r="N455" s="4">
        <v>0.734375</v>
      </c>
      <c r="P455" s="4">
        <v>0.734375</v>
      </c>
      <c r="Q455" s="4">
        <f>(P455-P454)/P454</f>
        <v>-0.21229050279329634</v>
      </c>
      <c r="R455" s="4">
        <v>40</v>
      </c>
      <c r="S455" s="3">
        <v>40856</v>
      </c>
      <c r="T455" s="2">
        <f>IF(N455&gt;0,1,0)</f>
        <v>1</v>
      </c>
    </row>
    <row r="456" spans="1:20" x14ac:dyDescent="0.2">
      <c r="A456" s="6">
        <v>455</v>
      </c>
      <c r="B456" s="3">
        <v>40864</v>
      </c>
      <c r="C456" s="4">
        <v>0.125760180966837</v>
      </c>
      <c r="D456" s="4">
        <v>0.116883938511213</v>
      </c>
      <c r="E456" s="4">
        <v>192</v>
      </c>
      <c r="F456" s="4">
        <v>178</v>
      </c>
      <c r="G456" s="4">
        <v>28.9599479166667</v>
      </c>
      <c r="H456" s="4">
        <v>0.92708333333333304</v>
      </c>
      <c r="I456" s="4">
        <v>1</v>
      </c>
      <c r="J456" s="4">
        <v>11</v>
      </c>
      <c r="K456" s="4">
        <v>2011</v>
      </c>
      <c r="M456" s="11"/>
      <c r="N456" s="4">
        <v>0.92708333333333304</v>
      </c>
      <c r="P456" s="4">
        <v>0.92708333333333304</v>
      </c>
      <c r="Q456" s="4">
        <f>(P456-P455)/P455</f>
        <v>0.2624113475177301</v>
      </c>
      <c r="R456" s="4">
        <v>41</v>
      </c>
      <c r="S456" s="3">
        <v>40864</v>
      </c>
      <c r="T456" s="2">
        <f>IF(N456&gt;0,1,0)</f>
        <v>1</v>
      </c>
    </row>
    <row r="457" spans="1:20" x14ac:dyDescent="0.2">
      <c r="A457" s="6">
        <v>456</v>
      </c>
      <c r="B457" s="3">
        <v>40872</v>
      </c>
      <c r="C457" s="4">
        <v>0.13562743393704299</v>
      </c>
      <c r="D457" s="4">
        <v>0.12790819257497801</v>
      </c>
      <c r="E457" s="4">
        <v>192</v>
      </c>
      <c r="F457" s="4">
        <v>192</v>
      </c>
      <c r="G457" s="4">
        <v>28.830911458333301</v>
      </c>
      <c r="H457" s="4">
        <v>1</v>
      </c>
      <c r="I457" s="4">
        <v>1</v>
      </c>
      <c r="J457" s="4">
        <v>11</v>
      </c>
      <c r="K457" s="4">
        <v>2011</v>
      </c>
      <c r="M457" s="11"/>
      <c r="N457" s="4">
        <v>1</v>
      </c>
      <c r="P457" s="4">
        <v>1</v>
      </c>
      <c r="Q457" s="4">
        <f>(P457-P456)/P456</f>
        <v>7.8651685393258772E-2</v>
      </c>
      <c r="R457" s="4">
        <v>42</v>
      </c>
      <c r="S457" s="3">
        <v>40872</v>
      </c>
      <c r="T457" s="2">
        <f>IF(N457&gt;0,1,0)</f>
        <v>1</v>
      </c>
    </row>
    <row r="458" spans="1:20" x14ac:dyDescent="0.2">
      <c r="A458" s="6">
        <v>457</v>
      </c>
      <c r="B458" s="3">
        <v>40880</v>
      </c>
      <c r="C458" s="4">
        <v>0.14246568647730701</v>
      </c>
      <c r="D458" s="4">
        <v>0.13913930207490899</v>
      </c>
      <c r="E458" s="4">
        <v>192</v>
      </c>
      <c r="F458" s="4">
        <v>192</v>
      </c>
      <c r="G458" s="4">
        <v>28.999739583333302</v>
      </c>
      <c r="H458" s="4">
        <v>1</v>
      </c>
      <c r="I458" s="4">
        <v>1</v>
      </c>
      <c r="J458" s="4">
        <v>12</v>
      </c>
      <c r="K458" s="4">
        <v>2011</v>
      </c>
      <c r="M458" s="11" t="s">
        <v>1</v>
      </c>
      <c r="N458" s="4">
        <v>1</v>
      </c>
      <c r="P458" s="4">
        <v>1</v>
      </c>
      <c r="Q458" s="4">
        <f>(P458-P457)/P457</f>
        <v>0</v>
      </c>
      <c r="R458" s="4">
        <v>43</v>
      </c>
      <c r="S458" s="3">
        <v>40880</v>
      </c>
      <c r="T458" s="2">
        <f>IF(N458&gt;0,1,0)</f>
        <v>1</v>
      </c>
    </row>
    <row r="459" spans="1:20" x14ac:dyDescent="0.2">
      <c r="A459" s="6">
        <v>458</v>
      </c>
      <c r="B459" s="3">
        <v>40888</v>
      </c>
      <c r="C459" s="4">
        <v>0.107234745752066</v>
      </c>
      <c r="D459" s="4">
        <v>9.6770506352186203E-2</v>
      </c>
      <c r="E459" s="4">
        <v>192</v>
      </c>
      <c r="F459" s="4">
        <v>192</v>
      </c>
      <c r="G459" s="4">
        <v>28.947630208333301</v>
      </c>
      <c r="H459" s="4">
        <v>1</v>
      </c>
      <c r="I459" s="4">
        <v>1</v>
      </c>
      <c r="J459" s="4">
        <v>12</v>
      </c>
      <c r="K459" s="4">
        <v>2011</v>
      </c>
      <c r="M459" s="5"/>
      <c r="N459" s="4">
        <v>1</v>
      </c>
      <c r="P459" s="4">
        <v>1</v>
      </c>
      <c r="Q459" s="4">
        <f>(P459-P458)/P458</f>
        <v>0</v>
      </c>
      <c r="R459" s="4">
        <v>44</v>
      </c>
      <c r="S459" s="3">
        <v>40888</v>
      </c>
      <c r="T459" s="2">
        <f>IF(N459&gt;0,1,0)</f>
        <v>1</v>
      </c>
    </row>
    <row r="460" spans="1:20" x14ac:dyDescent="0.2">
      <c r="A460" s="6">
        <v>459</v>
      </c>
      <c r="B460" s="3">
        <v>40896</v>
      </c>
      <c r="C460" s="4">
        <v>0.11733231392070501</v>
      </c>
      <c r="D460" s="4">
        <v>9.2317454516887706E-2</v>
      </c>
      <c r="E460" s="4">
        <v>192</v>
      </c>
      <c r="F460" s="4">
        <v>192</v>
      </c>
      <c r="G460" s="4">
        <v>28.7341927083333</v>
      </c>
      <c r="H460" s="4">
        <v>1</v>
      </c>
      <c r="I460" s="4">
        <v>1</v>
      </c>
      <c r="J460" s="4">
        <v>12</v>
      </c>
      <c r="K460" s="4">
        <v>2011</v>
      </c>
      <c r="M460" s="5"/>
      <c r="N460" s="4">
        <v>1</v>
      </c>
      <c r="P460" s="4">
        <v>1</v>
      </c>
      <c r="Q460" s="4">
        <f>(P460-P459)/P459</f>
        <v>0</v>
      </c>
      <c r="R460" s="4">
        <v>45</v>
      </c>
      <c r="S460" s="3">
        <v>40896</v>
      </c>
      <c r="T460" s="2">
        <f>IF(N460&gt;0,1,0)</f>
        <v>1</v>
      </c>
    </row>
    <row r="461" spans="1:20" x14ac:dyDescent="0.2">
      <c r="A461" s="6">
        <v>460</v>
      </c>
      <c r="B461" s="3">
        <v>40904</v>
      </c>
      <c r="C461" s="4" t="s">
        <v>0</v>
      </c>
      <c r="D461" s="4" t="s">
        <v>0</v>
      </c>
      <c r="E461" s="4">
        <v>120</v>
      </c>
      <c r="F461" s="4">
        <v>120</v>
      </c>
      <c r="G461" s="4">
        <v>28.075666666666699</v>
      </c>
      <c r="H461" s="4">
        <v>1</v>
      </c>
      <c r="I461" s="4">
        <v>1</v>
      </c>
      <c r="J461" s="4">
        <v>12</v>
      </c>
      <c r="K461" s="4">
        <v>2011</v>
      </c>
      <c r="M461" s="5"/>
      <c r="N461" s="4">
        <v>1</v>
      </c>
      <c r="P461" s="4">
        <v>1</v>
      </c>
      <c r="Q461" s="4">
        <f>(P461-P460)/P460</f>
        <v>0</v>
      </c>
      <c r="R461" s="4">
        <v>46</v>
      </c>
      <c r="S461" s="3">
        <v>40904</v>
      </c>
      <c r="T461" s="2">
        <f>IF(N461&gt;0,1,0)</f>
        <v>1</v>
      </c>
    </row>
    <row r="462" spans="1:20" x14ac:dyDescent="0.2">
      <c r="A462" s="6">
        <v>461</v>
      </c>
      <c r="B462" s="3">
        <v>40909</v>
      </c>
      <c r="C462" s="4">
        <v>0.146169231754952</v>
      </c>
      <c r="D462" s="4">
        <v>0.13365669734776001</v>
      </c>
      <c r="E462" s="4">
        <v>192</v>
      </c>
      <c r="F462" s="4">
        <v>192</v>
      </c>
      <c r="G462" s="4">
        <v>28.1484114583333</v>
      </c>
      <c r="H462" s="4">
        <v>1</v>
      </c>
      <c r="I462" s="4">
        <v>0.99470899470899499</v>
      </c>
      <c r="J462" s="4">
        <v>1</v>
      </c>
      <c r="K462" s="4">
        <v>2012</v>
      </c>
      <c r="L462">
        <v>2012</v>
      </c>
      <c r="M462" s="11" t="s">
        <v>12</v>
      </c>
      <c r="N462" s="4">
        <v>1</v>
      </c>
      <c r="P462" s="4">
        <v>1</v>
      </c>
      <c r="Q462" s="4">
        <f>(P462-P461)/P461</f>
        <v>0</v>
      </c>
      <c r="R462" s="4">
        <v>1</v>
      </c>
      <c r="S462" s="3">
        <v>40909</v>
      </c>
      <c r="T462" s="2">
        <f>IF(N462&gt;0,1,0)</f>
        <v>1</v>
      </c>
    </row>
    <row r="463" spans="1:20" x14ac:dyDescent="0.2">
      <c r="A463" s="6">
        <v>462</v>
      </c>
      <c r="B463" s="3">
        <v>40917</v>
      </c>
      <c r="C463" s="4">
        <v>0.14838657831704199</v>
      </c>
      <c r="D463" s="4">
        <v>0.138016328215599</v>
      </c>
      <c r="E463" s="4">
        <v>189</v>
      </c>
      <c r="F463" s="4">
        <v>188</v>
      </c>
      <c r="G463" s="4">
        <v>27.990026041666699</v>
      </c>
      <c r="H463" s="4">
        <v>0.99470899470899499</v>
      </c>
      <c r="I463" s="4">
        <v>0.993991416309013</v>
      </c>
      <c r="J463" s="4">
        <v>1</v>
      </c>
      <c r="K463" s="4">
        <v>2012</v>
      </c>
      <c r="M463" s="11"/>
      <c r="N463" s="4">
        <v>0.99470899470899499</v>
      </c>
      <c r="P463" s="4">
        <v>0.99470899470899499</v>
      </c>
      <c r="Q463" s="4">
        <f>(P463-P462)/P462</f>
        <v>-5.2910052910050132E-3</v>
      </c>
      <c r="R463" s="4">
        <v>2</v>
      </c>
      <c r="S463" s="3">
        <v>40917</v>
      </c>
      <c r="T463" s="2">
        <f>IF(N463&gt;0,1,0)</f>
        <v>1</v>
      </c>
    </row>
    <row r="464" spans="1:20" x14ac:dyDescent="0.2">
      <c r="A464" s="6">
        <v>463</v>
      </c>
      <c r="B464" s="3">
        <v>40925</v>
      </c>
      <c r="C464" s="4" t="s">
        <v>0</v>
      </c>
      <c r="D464" s="4" t="s">
        <v>0</v>
      </c>
      <c r="E464" s="4">
        <v>116.5</v>
      </c>
      <c r="F464" s="4">
        <v>115.8</v>
      </c>
      <c r="G464" s="4">
        <v>27.880442708333401</v>
      </c>
      <c r="H464" s="4">
        <v>0.993991416309013</v>
      </c>
      <c r="I464" s="4">
        <v>0.953125</v>
      </c>
      <c r="J464" s="4">
        <v>1</v>
      </c>
      <c r="K464" s="4">
        <v>2012</v>
      </c>
      <c r="M464" s="11"/>
      <c r="N464" s="4">
        <v>0.993991416309013</v>
      </c>
      <c r="P464" s="4">
        <v>0.993991416309013</v>
      </c>
      <c r="Q464" s="4">
        <f>(P464-P463)/P463</f>
        <v>-7.2139530636487119E-4</v>
      </c>
      <c r="R464" s="4">
        <v>3</v>
      </c>
      <c r="S464" s="3">
        <v>40925</v>
      </c>
      <c r="T464" s="2">
        <f>IF(N464&gt;0,1,0)</f>
        <v>1</v>
      </c>
    </row>
    <row r="465" spans="1:20" x14ac:dyDescent="0.2">
      <c r="A465" s="6">
        <v>464</v>
      </c>
      <c r="B465" s="3">
        <v>40933</v>
      </c>
      <c r="C465" s="4">
        <v>0.13183182850480099</v>
      </c>
      <c r="D465" s="4">
        <v>0.10409144312143299</v>
      </c>
      <c r="E465" s="4">
        <v>192</v>
      </c>
      <c r="F465" s="4">
        <v>183</v>
      </c>
      <c r="G465" s="4">
        <v>27.9163541666667</v>
      </c>
      <c r="H465" s="4">
        <v>0.953125</v>
      </c>
      <c r="I465" s="4">
        <v>0.49479166666666702</v>
      </c>
      <c r="J465" s="4">
        <v>1</v>
      </c>
      <c r="K465" s="4">
        <v>2012</v>
      </c>
      <c r="M465" s="11"/>
      <c r="N465" s="4">
        <v>0.953125</v>
      </c>
      <c r="P465" s="4">
        <v>0.953125</v>
      </c>
      <c r="Q465" s="4">
        <f>(P465-P464)/P464</f>
        <v>-4.111344991364433E-2</v>
      </c>
      <c r="R465" s="4">
        <v>4</v>
      </c>
      <c r="S465" s="3">
        <v>40933</v>
      </c>
      <c r="T465" s="2">
        <f>IF(N465&gt;0,1,0)</f>
        <v>1</v>
      </c>
    </row>
    <row r="466" spans="1:20" x14ac:dyDescent="0.2">
      <c r="A466" s="6">
        <v>465</v>
      </c>
      <c r="B466" s="3">
        <v>40941</v>
      </c>
      <c r="C466" s="4">
        <v>0.13354766481753599</v>
      </c>
      <c r="D466" s="4">
        <v>0.12781023234128999</v>
      </c>
      <c r="E466" s="4">
        <v>192</v>
      </c>
      <c r="F466" s="4">
        <v>95</v>
      </c>
      <c r="G466" s="4">
        <v>28.128802083333301</v>
      </c>
      <c r="H466" s="4">
        <v>0.49479166666666702</v>
      </c>
      <c r="I466" s="4">
        <v>0.31770833333333298</v>
      </c>
      <c r="J466" s="4">
        <v>2</v>
      </c>
      <c r="K466" s="4">
        <v>2012</v>
      </c>
      <c r="M466" s="11" t="s">
        <v>11</v>
      </c>
      <c r="N466" s="4">
        <v>0.49479166666666702</v>
      </c>
      <c r="P466" s="4">
        <v>0.49479166666666702</v>
      </c>
      <c r="Q466" s="4">
        <f>(P466-P465)/P465</f>
        <v>-0.48087431693989036</v>
      </c>
      <c r="R466" s="4">
        <v>5</v>
      </c>
      <c r="S466" s="3">
        <v>40941</v>
      </c>
      <c r="T466" s="2">
        <f>IF(N466&gt;0,1,0)</f>
        <v>1</v>
      </c>
    </row>
    <row r="467" spans="1:20" x14ac:dyDescent="0.2">
      <c r="A467" s="6">
        <v>466</v>
      </c>
      <c r="B467" s="7">
        <v>40949</v>
      </c>
      <c r="C467" s="4">
        <v>0.1182068048252</v>
      </c>
      <c r="D467" s="4">
        <v>0.10557053238153501</v>
      </c>
      <c r="E467" s="4">
        <v>192</v>
      </c>
      <c r="F467" s="4">
        <v>61</v>
      </c>
      <c r="G467" s="4">
        <v>28.323645833333401</v>
      </c>
      <c r="H467" s="4">
        <v>0.31770833333333298</v>
      </c>
      <c r="I467" s="4">
        <v>0</v>
      </c>
      <c r="J467" s="4">
        <v>2</v>
      </c>
      <c r="K467" s="4">
        <v>2012</v>
      </c>
      <c r="M467" s="11"/>
      <c r="N467" s="4">
        <v>0.31770833333333298</v>
      </c>
      <c r="P467" s="4">
        <v>0.31770833333333298</v>
      </c>
      <c r="Q467" s="4">
        <f>(P467-P466)/P466</f>
        <v>-0.35789473684210643</v>
      </c>
      <c r="R467" s="4">
        <v>6</v>
      </c>
      <c r="S467" s="7">
        <v>40949</v>
      </c>
      <c r="T467" s="2">
        <f>IF(N467&gt;0,1,0)</f>
        <v>1</v>
      </c>
    </row>
    <row r="468" spans="1:20" x14ac:dyDescent="0.2">
      <c r="A468" s="6">
        <v>467</v>
      </c>
      <c r="B468" s="3">
        <v>40957</v>
      </c>
      <c r="C468" s="4">
        <v>0.11786043925302001</v>
      </c>
      <c r="D468" s="4">
        <v>8.8072009384632097E-2</v>
      </c>
      <c r="E468" s="4">
        <v>192</v>
      </c>
      <c r="F468" s="4">
        <v>0</v>
      </c>
      <c r="G468" s="4">
        <v>27.992291666666699</v>
      </c>
      <c r="H468" s="4">
        <v>0</v>
      </c>
      <c r="I468" s="4">
        <v>3.6458333333333301E-2</v>
      </c>
      <c r="J468" s="4">
        <v>2</v>
      </c>
      <c r="K468" s="4">
        <v>2012</v>
      </c>
      <c r="M468" s="11"/>
      <c r="O468" s="4">
        <v>0.01</v>
      </c>
      <c r="P468" s="4">
        <v>0.01</v>
      </c>
      <c r="Q468" s="8">
        <f>(P468-P467)/P467</f>
        <v>-0.96852459016393433</v>
      </c>
      <c r="R468" s="4">
        <v>7</v>
      </c>
      <c r="S468" s="3">
        <v>40957</v>
      </c>
      <c r="T468" s="2">
        <f>IF(N468&gt;0,1,0)</f>
        <v>0</v>
      </c>
    </row>
    <row r="469" spans="1:20" x14ac:dyDescent="0.2">
      <c r="A469" s="6">
        <v>468</v>
      </c>
      <c r="B469" s="3">
        <v>40965</v>
      </c>
      <c r="C469" s="4">
        <v>0.14664800918350601</v>
      </c>
      <c r="D469" s="4">
        <v>0.145810934901237</v>
      </c>
      <c r="E469" s="4">
        <v>192</v>
      </c>
      <c r="F469" s="4">
        <v>7</v>
      </c>
      <c r="G469" s="4">
        <v>28.1834114583333</v>
      </c>
      <c r="H469" s="4">
        <v>3.6458333333333301E-2</v>
      </c>
      <c r="I469" s="4">
        <v>6.25E-2</v>
      </c>
      <c r="J469" s="4">
        <v>2</v>
      </c>
      <c r="K469" s="4">
        <v>2012</v>
      </c>
      <c r="M469" s="11"/>
      <c r="O469" s="4">
        <v>3.6458333333333301E-2</v>
      </c>
      <c r="P469" s="4">
        <v>3.6458333333333301E-2</v>
      </c>
      <c r="Q469" s="4">
        <f>(P469-P468)/P468</f>
        <v>2.6458333333333299</v>
      </c>
      <c r="R469" s="4">
        <v>8</v>
      </c>
      <c r="S469" s="3">
        <v>40965</v>
      </c>
      <c r="T469" s="2">
        <f>IF(N469&gt;0,1,0)</f>
        <v>0</v>
      </c>
    </row>
    <row r="470" spans="1:20" x14ac:dyDescent="0.2">
      <c r="A470" s="6">
        <v>469</v>
      </c>
      <c r="B470" s="3">
        <v>40973</v>
      </c>
      <c r="C470" s="4">
        <v>9.9125809967517894E-2</v>
      </c>
      <c r="D470" s="4" t="s">
        <v>0</v>
      </c>
      <c r="E470" s="4">
        <v>192</v>
      </c>
      <c r="F470" s="4">
        <v>12</v>
      </c>
      <c r="G470" s="4">
        <v>27.858645833333298</v>
      </c>
      <c r="H470" s="4">
        <v>6.25E-2</v>
      </c>
      <c r="I470" s="4">
        <v>0</v>
      </c>
      <c r="J470" s="4">
        <v>3</v>
      </c>
      <c r="K470" s="4">
        <v>2012</v>
      </c>
      <c r="M470" s="11" t="s">
        <v>10</v>
      </c>
      <c r="O470" s="4">
        <v>6.25E-2</v>
      </c>
      <c r="P470" s="4">
        <v>6.25E-2</v>
      </c>
      <c r="Q470" s="4">
        <f>(P470-P469)/P469</f>
        <v>0.71428571428571586</v>
      </c>
      <c r="R470" s="4">
        <v>9</v>
      </c>
      <c r="S470" s="3">
        <v>40973</v>
      </c>
      <c r="T470" s="2">
        <f>IF(N470&gt;0,1,0)</f>
        <v>0</v>
      </c>
    </row>
    <row r="471" spans="1:20" x14ac:dyDescent="0.2">
      <c r="A471" s="6">
        <v>470</v>
      </c>
      <c r="B471" s="3">
        <v>40981</v>
      </c>
      <c r="C471" s="4">
        <v>0.14392783812863699</v>
      </c>
      <c r="D471" s="4">
        <v>0.13513884445031499</v>
      </c>
      <c r="E471" s="4">
        <v>192</v>
      </c>
      <c r="F471" s="4">
        <v>0</v>
      </c>
      <c r="G471" s="4">
        <v>28.428463541666702</v>
      </c>
      <c r="H471" s="4">
        <v>0</v>
      </c>
      <c r="I471" s="4">
        <v>5.2083333333333296E-3</v>
      </c>
      <c r="J471" s="4">
        <v>3</v>
      </c>
      <c r="K471" s="4">
        <v>2012</v>
      </c>
      <c r="M471" s="11"/>
      <c r="O471" s="4">
        <v>0.01</v>
      </c>
      <c r="P471" s="4">
        <v>0.01</v>
      </c>
      <c r="Q471" s="4">
        <f>(P471-P470)/P470</f>
        <v>-0.84</v>
      </c>
      <c r="R471" s="4">
        <v>10</v>
      </c>
      <c r="S471" s="3">
        <v>40981</v>
      </c>
      <c r="T471" s="2">
        <f>IF(N471&gt;0,1,0)</f>
        <v>0</v>
      </c>
    </row>
    <row r="472" spans="1:20" x14ac:dyDescent="0.2">
      <c r="A472" s="6">
        <v>471</v>
      </c>
      <c r="B472" s="3">
        <v>40989</v>
      </c>
      <c r="C472" s="4">
        <v>0.141268965063824</v>
      </c>
      <c r="D472" s="4">
        <v>0.126107413321733</v>
      </c>
      <c r="E472" s="4">
        <v>192</v>
      </c>
      <c r="F472" s="4">
        <v>1</v>
      </c>
      <c r="G472" s="4">
        <v>29.043984375000001</v>
      </c>
      <c r="H472" s="4">
        <v>5.2083333333333296E-3</v>
      </c>
      <c r="I472" s="4">
        <v>5.2083333333333296E-3</v>
      </c>
      <c r="J472" s="4">
        <v>3</v>
      </c>
      <c r="K472" s="4">
        <v>2012</v>
      </c>
      <c r="M472" s="11"/>
      <c r="O472" s="4">
        <v>5.2083333333333296E-3</v>
      </c>
      <c r="P472" s="4">
        <v>5.2083333333333296E-3</v>
      </c>
      <c r="Q472" s="4">
        <f>(P472-P471)/P471</f>
        <v>-0.47916666666666707</v>
      </c>
      <c r="R472" s="4">
        <v>11</v>
      </c>
      <c r="S472" s="3">
        <v>40989</v>
      </c>
      <c r="T472" s="2">
        <f>IF(N472&gt;0,1,0)</f>
        <v>0</v>
      </c>
    </row>
    <row r="473" spans="1:20" x14ac:dyDescent="0.2">
      <c r="A473" s="6">
        <v>472</v>
      </c>
      <c r="B473" s="3">
        <v>40997</v>
      </c>
      <c r="C473" s="4">
        <v>0.138559536697964</v>
      </c>
      <c r="D473" s="4">
        <v>0.12665673717856399</v>
      </c>
      <c r="E473" s="4">
        <v>192</v>
      </c>
      <c r="F473" s="4">
        <v>1</v>
      </c>
      <c r="G473" s="4">
        <v>29.2027864583333</v>
      </c>
      <c r="H473" s="4">
        <v>5.2083333333333296E-3</v>
      </c>
      <c r="I473" s="4">
        <v>0</v>
      </c>
      <c r="J473" s="4">
        <v>3</v>
      </c>
      <c r="K473" s="4">
        <v>2012</v>
      </c>
      <c r="M473" s="11"/>
      <c r="O473" s="4">
        <v>5.2083333333333296E-3</v>
      </c>
      <c r="P473" s="4">
        <v>5.2083333333333296E-3</v>
      </c>
      <c r="Q473" s="4">
        <f>(P473-P472)/P472</f>
        <v>0</v>
      </c>
      <c r="R473" s="4">
        <v>12</v>
      </c>
      <c r="S473" s="3">
        <v>40997</v>
      </c>
      <c r="T473" s="2">
        <f>IF(N473&gt;0,1,0)</f>
        <v>0</v>
      </c>
    </row>
    <row r="474" spans="1:20" x14ac:dyDescent="0.2">
      <c r="A474" s="6">
        <v>473</v>
      </c>
      <c r="B474" s="3">
        <v>41005</v>
      </c>
      <c r="C474" s="4">
        <v>0.145069267052089</v>
      </c>
      <c r="D474" s="4">
        <v>0.122178399314483</v>
      </c>
      <c r="E474" s="4">
        <v>192</v>
      </c>
      <c r="F474" s="4">
        <v>0</v>
      </c>
      <c r="G474" s="4">
        <v>29.3919270833333</v>
      </c>
      <c r="H474" s="4">
        <v>0</v>
      </c>
      <c r="I474" s="4">
        <v>1.0416666666666701E-2</v>
      </c>
      <c r="J474" s="4">
        <v>4</v>
      </c>
      <c r="K474" s="4">
        <v>2012</v>
      </c>
      <c r="M474" s="11" t="s">
        <v>9</v>
      </c>
      <c r="O474" s="4">
        <v>0.01</v>
      </c>
      <c r="P474" s="4">
        <v>0.01</v>
      </c>
      <c r="Q474" s="4">
        <f>(P474-P473)/P473</f>
        <v>0.92000000000000137</v>
      </c>
      <c r="R474" s="4">
        <v>13</v>
      </c>
      <c r="S474" s="3">
        <v>41005</v>
      </c>
      <c r="T474" s="2">
        <f>IF(N474&gt;0,1,0)</f>
        <v>0</v>
      </c>
    </row>
    <row r="475" spans="1:20" x14ac:dyDescent="0.2">
      <c r="A475" s="6">
        <v>474</v>
      </c>
      <c r="B475" s="3">
        <v>41013</v>
      </c>
      <c r="C475" s="4">
        <v>0.14750665891915599</v>
      </c>
      <c r="D475" s="4">
        <v>0.124846530457338</v>
      </c>
      <c r="E475" s="4">
        <v>192</v>
      </c>
      <c r="F475" s="4">
        <v>2</v>
      </c>
      <c r="G475" s="4">
        <v>29.702057291666701</v>
      </c>
      <c r="H475" s="4">
        <v>1.0416666666666701E-2</v>
      </c>
      <c r="I475" s="4">
        <v>0.114583333333333</v>
      </c>
      <c r="J475" s="4">
        <v>4</v>
      </c>
      <c r="K475" s="4">
        <v>2012</v>
      </c>
      <c r="M475" s="11"/>
      <c r="O475" s="4">
        <v>1.0416666666666701E-2</v>
      </c>
      <c r="P475" s="4">
        <v>1.0416666666666701E-2</v>
      </c>
      <c r="Q475" s="4">
        <f>(P475-P474)/P474</f>
        <v>4.1666666666670057E-2</v>
      </c>
      <c r="R475" s="4">
        <v>14</v>
      </c>
      <c r="S475" s="3">
        <v>41013</v>
      </c>
      <c r="T475" s="2">
        <f>IF(N475&gt;0,1,0)</f>
        <v>0</v>
      </c>
    </row>
    <row r="476" spans="1:20" x14ac:dyDescent="0.2">
      <c r="A476" s="6">
        <v>475</v>
      </c>
      <c r="B476" s="3">
        <v>41021</v>
      </c>
      <c r="C476" s="4">
        <v>0.14253880917015699</v>
      </c>
      <c r="D476" s="4" t="s">
        <v>0</v>
      </c>
      <c r="E476" s="4">
        <v>192</v>
      </c>
      <c r="F476" s="4">
        <v>22</v>
      </c>
      <c r="G476" s="4">
        <v>29.126692708333401</v>
      </c>
      <c r="H476" s="4">
        <v>0.114583333333333</v>
      </c>
      <c r="I476" s="4">
        <v>3.6458333333333301E-2</v>
      </c>
      <c r="J476" s="4">
        <v>4</v>
      </c>
      <c r="K476" s="4">
        <v>2012</v>
      </c>
      <c r="M476" s="11"/>
      <c r="O476" s="4">
        <v>0.114583333333333</v>
      </c>
      <c r="P476" s="4">
        <v>0.114583333333333</v>
      </c>
      <c r="Q476" s="4">
        <f>(P476-P475)/P475</f>
        <v>9.9999999999999325</v>
      </c>
      <c r="R476" s="4">
        <v>15</v>
      </c>
      <c r="S476" s="3">
        <v>41021</v>
      </c>
      <c r="T476" s="2">
        <f>IF(N476&gt;0,1,0)</f>
        <v>0</v>
      </c>
    </row>
    <row r="477" spans="1:20" x14ac:dyDescent="0.2">
      <c r="A477" s="6">
        <v>476</v>
      </c>
      <c r="B477" s="3">
        <v>41029</v>
      </c>
      <c r="C477" s="4">
        <v>0.14086382908928699</v>
      </c>
      <c r="D477" s="4">
        <v>0.14012981454531401</v>
      </c>
      <c r="E477" s="4">
        <v>192</v>
      </c>
      <c r="F477" s="4">
        <v>7</v>
      </c>
      <c r="G477" s="4">
        <v>29.320390625000002</v>
      </c>
      <c r="H477" s="4">
        <v>3.6458333333333301E-2</v>
      </c>
      <c r="I477" s="4">
        <v>0.41666666666666702</v>
      </c>
      <c r="J477" s="4">
        <v>4</v>
      </c>
      <c r="K477" s="4">
        <v>2012</v>
      </c>
      <c r="M477" s="11" t="s">
        <v>8</v>
      </c>
      <c r="O477" s="4">
        <v>3.6458333333333301E-2</v>
      </c>
      <c r="P477" s="4">
        <v>3.6458333333333301E-2</v>
      </c>
      <c r="Q477" s="4">
        <f>(P477-P476)/P476</f>
        <v>-0.68181818181818121</v>
      </c>
      <c r="R477" s="4">
        <v>16</v>
      </c>
      <c r="S477" s="3">
        <v>41029</v>
      </c>
      <c r="T477" s="2">
        <f>IF(N477&gt;0,1,0)</f>
        <v>0</v>
      </c>
    </row>
    <row r="478" spans="1:20" x14ac:dyDescent="0.2">
      <c r="A478" s="6">
        <v>477</v>
      </c>
      <c r="B478" s="3">
        <v>41037</v>
      </c>
      <c r="C478" s="4">
        <v>0.123124173544731</v>
      </c>
      <c r="D478" s="4">
        <v>0.107829824090004</v>
      </c>
      <c r="E478" s="4">
        <v>192</v>
      </c>
      <c r="F478" s="4">
        <v>80</v>
      </c>
      <c r="G478" s="4">
        <v>29.417916666666699</v>
      </c>
      <c r="H478" s="4">
        <v>0.41666666666666702</v>
      </c>
      <c r="I478" s="4">
        <v>0.27604166666666702</v>
      </c>
      <c r="J478" s="4">
        <v>5</v>
      </c>
      <c r="K478" s="4">
        <v>2012</v>
      </c>
      <c r="M478" s="11"/>
      <c r="O478" s="4">
        <v>0.41666666666666702</v>
      </c>
      <c r="P478" s="4">
        <v>0.41666666666666702</v>
      </c>
      <c r="Q478" s="4">
        <f>(P478-P477)/P477</f>
        <v>10.428571428571448</v>
      </c>
      <c r="R478" s="4">
        <v>17</v>
      </c>
      <c r="S478" s="3">
        <v>41037</v>
      </c>
      <c r="T478" s="2">
        <f>IF(N478&gt;0,1,0)</f>
        <v>0</v>
      </c>
    </row>
    <row r="479" spans="1:20" x14ac:dyDescent="0.2">
      <c r="A479" s="6">
        <v>478</v>
      </c>
      <c r="B479" s="3">
        <v>41045</v>
      </c>
      <c r="C479" s="4">
        <v>0.106150765102226</v>
      </c>
      <c r="D479" s="4">
        <v>8.7257909278074905E-2</v>
      </c>
      <c r="E479" s="4">
        <v>192</v>
      </c>
      <c r="F479" s="4">
        <v>53</v>
      </c>
      <c r="G479" s="4">
        <v>29.486119791666699</v>
      </c>
      <c r="H479" s="4">
        <v>0.27604166666666702</v>
      </c>
      <c r="I479" s="4">
        <v>3.6458333333333301E-2</v>
      </c>
      <c r="J479" s="4">
        <v>5</v>
      </c>
      <c r="K479" s="4">
        <v>2012</v>
      </c>
      <c r="M479" s="11"/>
      <c r="O479" s="4">
        <v>0.27604166666666702</v>
      </c>
      <c r="P479" s="4">
        <v>0.27604166666666702</v>
      </c>
      <c r="Q479" s="4">
        <f>(P479-P478)/P478</f>
        <v>-0.33749999999999969</v>
      </c>
      <c r="R479" s="4">
        <v>18</v>
      </c>
      <c r="S479" s="3">
        <v>41045</v>
      </c>
      <c r="T479" s="2">
        <f>IF(N479&gt;0,1,0)</f>
        <v>0</v>
      </c>
    </row>
    <row r="480" spans="1:20" x14ac:dyDescent="0.2">
      <c r="A480" s="6">
        <v>479</v>
      </c>
      <c r="B480" s="3">
        <v>41053</v>
      </c>
      <c r="C480" s="4">
        <v>0.100994060328905</v>
      </c>
      <c r="D480" s="4">
        <v>8.5556519528229999E-2</v>
      </c>
      <c r="E480" s="4">
        <v>192</v>
      </c>
      <c r="F480" s="4">
        <v>7</v>
      </c>
      <c r="G480" s="4">
        <v>29.390260416666699</v>
      </c>
      <c r="H480" s="4">
        <v>3.6458333333333301E-2</v>
      </c>
      <c r="I480" s="4">
        <v>1.0416666666666701E-2</v>
      </c>
      <c r="J480" s="4">
        <v>5</v>
      </c>
      <c r="K480" s="4">
        <v>2012</v>
      </c>
      <c r="M480" s="11"/>
      <c r="O480" s="4">
        <v>3.6458333333333301E-2</v>
      </c>
      <c r="P480" s="4">
        <v>3.6458333333333301E-2</v>
      </c>
      <c r="Q480" s="4">
        <f>(P480-P479)/P479</f>
        <v>-0.86792452830188704</v>
      </c>
      <c r="R480" s="4">
        <v>19</v>
      </c>
      <c r="S480" s="3">
        <v>41053</v>
      </c>
      <c r="T480" s="2">
        <f>IF(N480&gt;0,1,0)</f>
        <v>0</v>
      </c>
    </row>
    <row r="481" spans="1:20" x14ac:dyDescent="0.2">
      <c r="A481" s="6">
        <v>480</v>
      </c>
      <c r="B481" s="3">
        <v>41061</v>
      </c>
      <c r="C481" s="4">
        <v>0.130892309091859</v>
      </c>
      <c r="D481" s="4" t="s">
        <v>0</v>
      </c>
      <c r="E481" s="4">
        <v>192</v>
      </c>
      <c r="F481" s="4">
        <v>2</v>
      </c>
      <c r="G481" s="4">
        <v>29.230364583333301</v>
      </c>
      <c r="H481" s="4">
        <v>1.0416666666666701E-2</v>
      </c>
      <c r="I481" s="4">
        <v>6.25E-2</v>
      </c>
      <c r="J481" s="4">
        <v>6</v>
      </c>
      <c r="K481" s="4">
        <v>2012</v>
      </c>
      <c r="M481" s="11" t="s">
        <v>7</v>
      </c>
      <c r="O481" s="4">
        <v>1.0416666666666701E-2</v>
      </c>
      <c r="P481" s="4">
        <v>1.0416666666666701E-2</v>
      </c>
      <c r="Q481" s="4">
        <f>(P481-P480)/P480</f>
        <v>-0.71428571428571319</v>
      </c>
      <c r="R481" s="4">
        <v>20</v>
      </c>
      <c r="S481" s="3">
        <v>41061</v>
      </c>
      <c r="T481" s="2">
        <f>IF(N481&gt;0,1,0)</f>
        <v>0</v>
      </c>
    </row>
    <row r="482" spans="1:20" x14ac:dyDescent="0.2">
      <c r="A482" s="6">
        <v>481</v>
      </c>
      <c r="B482" s="3">
        <v>41069</v>
      </c>
      <c r="C482" s="4">
        <v>0.16879535052511399</v>
      </c>
      <c r="D482" s="4" t="s">
        <v>0</v>
      </c>
      <c r="E482" s="4">
        <v>192</v>
      </c>
      <c r="F482" s="4">
        <v>12</v>
      </c>
      <c r="G482" s="4">
        <v>29.3069791666667</v>
      </c>
      <c r="H482" s="4">
        <v>6.25E-2</v>
      </c>
      <c r="I482" s="4">
        <v>0</v>
      </c>
      <c r="J482" s="4">
        <v>6</v>
      </c>
      <c r="K482" s="4">
        <v>2012</v>
      </c>
      <c r="M482" s="11"/>
      <c r="O482" s="4">
        <v>6.25E-2</v>
      </c>
      <c r="P482" s="4">
        <v>6.25E-2</v>
      </c>
      <c r="Q482" s="4">
        <f>(P482-P481)/P481</f>
        <v>4.9999999999999805</v>
      </c>
      <c r="R482" s="4">
        <v>21</v>
      </c>
      <c r="S482" s="3">
        <v>41069</v>
      </c>
      <c r="T482" s="2">
        <f>IF(N482&gt;0,1,0)</f>
        <v>0</v>
      </c>
    </row>
    <row r="483" spans="1:20" x14ac:dyDescent="0.2">
      <c r="A483" s="6">
        <v>482</v>
      </c>
      <c r="B483" s="3">
        <v>41077</v>
      </c>
      <c r="C483" s="4">
        <v>0.13242366618436299</v>
      </c>
      <c r="D483" s="4">
        <v>0.11520268768072101</v>
      </c>
      <c r="E483" s="4">
        <v>192</v>
      </c>
      <c r="F483" s="4">
        <v>0</v>
      </c>
      <c r="G483" s="4">
        <v>29.075911458333302</v>
      </c>
      <c r="H483" s="4">
        <v>0</v>
      </c>
      <c r="I483" s="4">
        <v>0</v>
      </c>
      <c r="J483" s="4">
        <v>6</v>
      </c>
      <c r="K483" s="4">
        <v>2012</v>
      </c>
      <c r="M483" s="11"/>
      <c r="O483" s="4">
        <v>0.01</v>
      </c>
      <c r="P483" s="4">
        <v>0.01</v>
      </c>
      <c r="Q483" s="4">
        <f>(P483-P482)/P482</f>
        <v>-0.84</v>
      </c>
      <c r="R483" s="4">
        <v>22</v>
      </c>
      <c r="S483" s="3">
        <v>41077</v>
      </c>
      <c r="T483" s="2">
        <f>IF(N483&gt;0,1,0)</f>
        <v>0</v>
      </c>
    </row>
    <row r="484" spans="1:20" x14ac:dyDescent="0.2">
      <c r="A484" s="6">
        <v>483</v>
      </c>
      <c r="B484" s="3">
        <v>41085</v>
      </c>
      <c r="C484" s="4">
        <v>0.10713485912198099</v>
      </c>
      <c r="D484" s="4" t="s">
        <v>0</v>
      </c>
      <c r="E484" s="4">
        <v>192</v>
      </c>
      <c r="F484" s="4">
        <v>0</v>
      </c>
      <c r="G484" s="4">
        <v>28.860390625000001</v>
      </c>
      <c r="H484" s="4">
        <v>0</v>
      </c>
      <c r="I484" s="4">
        <v>5.2083333333333296E-3</v>
      </c>
      <c r="J484" s="4">
        <v>6</v>
      </c>
      <c r="K484" s="4">
        <v>2012</v>
      </c>
      <c r="M484" s="11"/>
      <c r="O484" s="4">
        <v>0.01</v>
      </c>
      <c r="P484" s="4">
        <v>0.01</v>
      </c>
      <c r="Q484" s="4">
        <f>(P484-P483)/P483</f>
        <v>0</v>
      </c>
      <c r="R484" s="4">
        <v>23</v>
      </c>
      <c r="S484" s="3">
        <v>41085</v>
      </c>
      <c r="T484" s="2">
        <f>IF(N484&gt;0,1,0)</f>
        <v>0</v>
      </c>
    </row>
    <row r="485" spans="1:20" x14ac:dyDescent="0.2">
      <c r="A485" s="6">
        <v>484</v>
      </c>
      <c r="B485" s="3">
        <v>41093</v>
      </c>
      <c r="C485" s="4" t="s">
        <v>0</v>
      </c>
      <c r="D485" s="4" t="s">
        <v>0</v>
      </c>
      <c r="E485" s="4">
        <v>192</v>
      </c>
      <c r="F485" s="4">
        <v>1</v>
      </c>
      <c r="G485" s="4">
        <v>28.469765625000001</v>
      </c>
      <c r="H485" s="4">
        <v>5.2083333333333296E-3</v>
      </c>
      <c r="I485" s="4">
        <v>3.125E-2</v>
      </c>
      <c r="J485" s="4">
        <v>7</v>
      </c>
      <c r="K485" s="4">
        <v>2012</v>
      </c>
      <c r="M485" s="11" t="s">
        <v>6</v>
      </c>
      <c r="O485" s="4">
        <v>5.2083333333333296E-3</v>
      </c>
      <c r="P485" s="4">
        <v>5.2083333333333296E-3</v>
      </c>
      <c r="Q485" s="4">
        <f>(P485-P484)/P484</f>
        <v>-0.47916666666666707</v>
      </c>
      <c r="R485" s="4">
        <v>24</v>
      </c>
      <c r="S485" s="3">
        <v>41093</v>
      </c>
      <c r="T485" s="2">
        <f>IF(N485&gt;0,1,0)</f>
        <v>0</v>
      </c>
    </row>
    <row r="486" spans="1:20" x14ac:dyDescent="0.2">
      <c r="A486" s="6">
        <v>485</v>
      </c>
      <c r="B486" s="3">
        <v>41101</v>
      </c>
      <c r="C486" s="4">
        <v>0.11123458344651301</v>
      </c>
      <c r="D486" s="4">
        <v>0.101151220500469</v>
      </c>
      <c r="E486" s="4">
        <v>192</v>
      </c>
      <c r="F486" s="4">
        <v>6</v>
      </c>
      <c r="G486" s="4">
        <v>28.823619791666701</v>
      </c>
      <c r="H486" s="4">
        <v>3.125E-2</v>
      </c>
      <c r="I486" s="4">
        <v>3.6458333333333301E-2</v>
      </c>
      <c r="J486" s="4">
        <v>7</v>
      </c>
      <c r="K486" s="4">
        <v>2012</v>
      </c>
      <c r="M486" s="11"/>
      <c r="O486" s="4">
        <v>3.125E-2</v>
      </c>
      <c r="P486" s="4">
        <v>3.125E-2</v>
      </c>
      <c r="Q486" s="4">
        <f>(P486-P485)/P485</f>
        <v>5.0000000000000044</v>
      </c>
      <c r="R486" s="4">
        <v>25</v>
      </c>
      <c r="S486" s="3">
        <v>41101</v>
      </c>
      <c r="T486" s="2">
        <f>IF(N486&gt;0,1,0)</f>
        <v>0</v>
      </c>
    </row>
    <row r="487" spans="1:20" x14ac:dyDescent="0.2">
      <c r="A487" s="6">
        <v>486</v>
      </c>
      <c r="B487" s="3">
        <v>41109</v>
      </c>
      <c r="C487" s="4">
        <v>0.105321822432326</v>
      </c>
      <c r="D487" s="4">
        <v>7.7430061995983096E-2</v>
      </c>
      <c r="E487" s="4">
        <v>192</v>
      </c>
      <c r="F487" s="4">
        <v>7</v>
      </c>
      <c r="G487" s="4">
        <v>28.545364583333299</v>
      </c>
      <c r="H487" s="4">
        <v>3.6458333333333301E-2</v>
      </c>
      <c r="I487" s="4">
        <v>0</v>
      </c>
      <c r="J487" s="4">
        <v>7</v>
      </c>
      <c r="K487" s="4">
        <v>2012</v>
      </c>
      <c r="M487" s="11"/>
      <c r="O487" s="4">
        <v>3.6458333333333301E-2</v>
      </c>
      <c r="P487" s="4">
        <v>3.6458333333333301E-2</v>
      </c>
      <c r="Q487" s="4">
        <f>(P487-P486)/P486</f>
        <v>0.16666666666666563</v>
      </c>
      <c r="R487" s="4">
        <v>26</v>
      </c>
      <c r="S487" s="3">
        <v>41109</v>
      </c>
      <c r="T487" s="2">
        <f>IF(N487&gt;0,1,0)</f>
        <v>0</v>
      </c>
    </row>
    <row r="488" spans="1:20" x14ac:dyDescent="0.2">
      <c r="A488" s="6">
        <v>487</v>
      </c>
      <c r="B488" s="3">
        <v>41117</v>
      </c>
      <c r="C488" s="4">
        <v>8.5439382247965406E-2</v>
      </c>
      <c r="D488" s="4">
        <v>6.9810913254817294E-2</v>
      </c>
      <c r="E488" s="4">
        <v>192</v>
      </c>
      <c r="F488" s="4">
        <v>0</v>
      </c>
      <c r="G488" s="4">
        <v>28.222734375000002</v>
      </c>
      <c r="H488" s="4">
        <v>0</v>
      </c>
      <c r="I488" s="4">
        <v>0</v>
      </c>
      <c r="J488" s="4">
        <v>7</v>
      </c>
      <c r="K488" s="4">
        <v>2012</v>
      </c>
      <c r="M488" s="11"/>
      <c r="O488" s="4">
        <v>0.01</v>
      </c>
      <c r="P488" s="4">
        <v>0.01</v>
      </c>
      <c r="Q488" s="4">
        <f>(P488-P487)/P487</f>
        <v>-0.72571428571428542</v>
      </c>
      <c r="R488" s="4">
        <v>27</v>
      </c>
      <c r="S488" s="3">
        <v>41117</v>
      </c>
      <c r="T488" s="2">
        <f>IF(N488&gt;0,1,0)</f>
        <v>0</v>
      </c>
    </row>
    <row r="489" spans="1:20" x14ac:dyDescent="0.2">
      <c r="A489" s="6">
        <v>488</v>
      </c>
      <c r="B489" s="3">
        <v>41125</v>
      </c>
      <c r="C489" s="4">
        <v>0.12469326392855801</v>
      </c>
      <c r="D489" s="4">
        <v>9.4536490738391904E-2</v>
      </c>
      <c r="E489" s="4">
        <v>192</v>
      </c>
      <c r="F489" s="4">
        <v>0</v>
      </c>
      <c r="G489" s="4">
        <v>28.1850520833333</v>
      </c>
      <c r="H489" s="4">
        <v>0</v>
      </c>
      <c r="I489" s="4">
        <v>0</v>
      </c>
      <c r="J489" s="4">
        <v>8</v>
      </c>
      <c r="K489" s="4">
        <v>2012</v>
      </c>
      <c r="M489" s="11" t="s">
        <v>5</v>
      </c>
      <c r="O489" s="4">
        <v>0.01</v>
      </c>
      <c r="P489" s="4">
        <v>0.01</v>
      </c>
      <c r="Q489" s="4">
        <f>(P489-P488)/P488</f>
        <v>0</v>
      </c>
      <c r="R489" s="4">
        <v>28</v>
      </c>
      <c r="S489" s="3">
        <v>41125</v>
      </c>
      <c r="T489" s="2">
        <f>IF(N489&gt;0,1,0)</f>
        <v>0</v>
      </c>
    </row>
    <row r="490" spans="1:20" x14ac:dyDescent="0.2">
      <c r="A490" s="6">
        <v>489</v>
      </c>
      <c r="B490" s="3">
        <v>41133</v>
      </c>
      <c r="C490" s="4">
        <v>0.11535516757032099</v>
      </c>
      <c r="D490" s="4">
        <v>0.102385316044092</v>
      </c>
      <c r="E490" s="4">
        <v>192</v>
      </c>
      <c r="F490" s="4">
        <v>0</v>
      </c>
      <c r="G490" s="4">
        <v>28.250833333333301</v>
      </c>
      <c r="H490" s="4">
        <v>0</v>
      </c>
      <c r="I490" s="4">
        <v>1.5625E-2</v>
      </c>
      <c r="J490" s="4">
        <v>8</v>
      </c>
      <c r="K490" s="4">
        <v>2012</v>
      </c>
      <c r="M490" s="11"/>
      <c r="O490" s="4">
        <v>0.01</v>
      </c>
      <c r="P490" s="4">
        <v>0.01</v>
      </c>
      <c r="Q490" s="4">
        <f>(P490-P489)/P489</f>
        <v>0</v>
      </c>
      <c r="R490" s="4">
        <v>29</v>
      </c>
      <c r="S490" s="3">
        <v>41133</v>
      </c>
      <c r="T490" s="2">
        <f>IF(N490&gt;0,1,0)</f>
        <v>0</v>
      </c>
    </row>
    <row r="491" spans="1:20" x14ac:dyDescent="0.2">
      <c r="A491" s="6">
        <v>490</v>
      </c>
      <c r="B491" s="3">
        <v>41141</v>
      </c>
      <c r="C491" s="4">
        <v>8.7057272823136495E-2</v>
      </c>
      <c r="D491" s="4">
        <v>7.7937613427638996E-2</v>
      </c>
      <c r="E491" s="4">
        <v>192</v>
      </c>
      <c r="F491" s="4">
        <v>3</v>
      </c>
      <c r="G491" s="4">
        <v>28.574375</v>
      </c>
      <c r="H491" s="4">
        <v>1.5625E-2</v>
      </c>
      <c r="I491" s="4">
        <v>1.5625E-2</v>
      </c>
      <c r="J491" s="4">
        <v>8</v>
      </c>
      <c r="K491" s="4">
        <v>2012</v>
      </c>
      <c r="M491" s="11"/>
      <c r="O491" s="4">
        <v>1.5625E-2</v>
      </c>
      <c r="P491" s="4">
        <v>1.5625E-2</v>
      </c>
      <c r="Q491" s="4">
        <f>(P491-P490)/P490</f>
        <v>0.5625</v>
      </c>
      <c r="R491" s="4">
        <v>30</v>
      </c>
      <c r="S491" s="3">
        <v>41141</v>
      </c>
      <c r="T491" s="2">
        <f>IF(N491&gt;0,1,0)</f>
        <v>0</v>
      </c>
    </row>
    <row r="492" spans="1:20" x14ac:dyDescent="0.2">
      <c r="A492" s="6">
        <v>491</v>
      </c>
      <c r="B492" s="3">
        <v>41149</v>
      </c>
      <c r="C492" s="4">
        <v>8.3039060855905206E-2</v>
      </c>
      <c r="D492" s="4" t="s">
        <v>0</v>
      </c>
      <c r="E492" s="4">
        <v>192</v>
      </c>
      <c r="F492" s="4">
        <v>3</v>
      </c>
      <c r="G492" s="4">
        <v>28.498359375</v>
      </c>
      <c r="H492" s="4">
        <v>1.5625E-2</v>
      </c>
      <c r="I492" s="4">
        <v>0.140625</v>
      </c>
      <c r="J492" s="4">
        <v>8</v>
      </c>
      <c r="K492" s="4">
        <v>2012</v>
      </c>
      <c r="M492" s="11"/>
      <c r="O492" s="4">
        <v>1.5625E-2</v>
      </c>
      <c r="P492" s="4">
        <v>1.5625E-2</v>
      </c>
      <c r="Q492" s="4">
        <f>(P492-P491)/P491</f>
        <v>0</v>
      </c>
      <c r="R492" s="4">
        <v>31</v>
      </c>
      <c r="S492" s="3">
        <v>41149</v>
      </c>
      <c r="T492" s="2">
        <f>IF(N492&gt;0,1,0)</f>
        <v>0</v>
      </c>
    </row>
    <row r="493" spans="1:20" x14ac:dyDescent="0.2">
      <c r="A493" s="6">
        <v>492</v>
      </c>
      <c r="B493" s="3">
        <v>41157</v>
      </c>
      <c r="C493" s="4">
        <v>0.136087368242443</v>
      </c>
      <c r="D493" s="4" t="s">
        <v>0</v>
      </c>
      <c r="E493" s="4">
        <v>192</v>
      </c>
      <c r="F493" s="4">
        <v>27</v>
      </c>
      <c r="G493" s="4">
        <v>28.521119791666699</v>
      </c>
      <c r="H493" s="4">
        <v>0.140625</v>
      </c>
      <c r="I493" s="4">
        <v>0.15625</v>
      </c>
      <c r="J493" s="4">
        <v>9</v>
      </c>
      <c r="K493" s="4">
        <v>2012</v>
      </c>
      <c r="M493" s="11" t="s">
        <v>4</v>
      </c>
      <c r="O493" s="4">
        <v>0.140625</v>
      </c>
      <c r="P493" s="4">
        <v>0.140625</v>
      </c>
      <c r="Q493" s="4">
        <f>(P493-P492)/P492</f>
        <v>8</v>
      </c>
      <c r="R493" s="4">
        <v>32</v>
      </c>
      <c r="S493" s="3">
        <v>41157</v>
      </c>
      <c r="T493" s="2">
        <f>IF(N493&gt;0,1,0)</f>
        <v>0</v>
      </c>
    </row>
    <row r="494" spans="1:20" x14ac:dyDescent="0.2">
      <c r="A494" s="6">
        <v>493</v>
      </c>
      <c r="B494" s="3">
        <v>41165</v>
      </c>
      <c r="C494" s="4">
        <v>0.195263646543026</v>
      </c>
      <c r="D494" s="4" t="s">
        <v>0</v>
      </c>
      <c r="E494" s="4">
        <v>192</v>
      </c>
      <c r="F494" s="4">
        <v>30</v>
      </c>
      <c r="G494" s="4">
        <v>28.518515624999999</v>
      </c>
      <c r="H494" s="4">
        <v>0.15625</v>
      </c>
      <c r="I494" s="4">
        <v>0.328125</v>
      </c>
      <c r="J494" s="4">
        <v>9</v>
      </c>
      <c r="K494" s="4">
        <v>2012</v>
      </c>
      <c r="M494" s="11"/>
      <c r="O494" s="4">
        <v>0.15625</v>
      </c>
      <c r="P494" s="4">
        <v>0.15625</v>
      </c>
      <c r="Q494" s="4">
        <f>(P494-P493)/P493</f>
        <v>0.1111111111111111</v>
      </c>
      <c r="R494" s="4">
        <v>33</v>
      </c>
      <c r="S494" s="3">
        <v>41165</v>
      </c>
      <c r="T494" s="2">
        <f>IF(N494&gt;0,1,0)</f>
        <v>0</v>
      </c>
    </row>
    <row r="495" spans="1:20" x14ac:dyDescent="0.2">
      <c r="A495" s="6">
        <v>494</v>
      </c>
      <c r="B495" s="3">
        <v>41173</v>
      </c>
      <c r="C495" s="4">
        <v>8.3256595132369798E-2</v>
      </c>
      <c r="D495" s="4">
        <v>7.4012964963913006E-2</v>
      </c>
      <c r="E495" s="4">
        <v>192</v>
      </c>
      <c r="F495" s="4">
        <v>63</v>
      </c>
      <c r="G495" s="4">
        <v>28.5244010416667</v>
      </c>
      <c r="H495" s="4">
        <v>0.328125</v>
      </c>
      <c r="I495" s="4">
        <v>0.61458333333333304</v>
      </c>
      <c r="J495" s="4">
        <v>9</v>
      </c>
      <c r="K495" s="4">
        <v>2012</v>
      </c>
      <c r="M495" s="11"/>
      <c r="O495" s="4">
        <v>0.328125</v>
      </c>
      <c r="P495" s="4">
        <v>0.328125</v>
      </c>
      <c r="Q495" s="4">
        <f>(P495-P494)/P494</f>
        <v>1.1000000000000001</v>
      </c>
      <c r="R495" s="4">
        <v>34</v>
      </c>
      <c r="S495" s="3">
        <v>41173</v>
      </c>
      <c r="T495" s="2">
        <f>IF(N495&gt;0,1,0)</f>
        <v>0</v>
      </c>
    </row>
    <row r="496" spans="1:20" x14ac:dyDescent="0.2">
      <c r="A496" s="6">
        <v>495</v>
      </c>
      <c r="B496" s="3">
        <v>41181</v>
      </c>
      <c r="C496" s="4">
        <v>0.10131776234451299</v>
      </c>
      <c r="D496" s="4">
        <v>0.108902487903833</v>
      </c>
      <c r="E496" s="4">
        <v>192</v>
      </c>
      <c r="F496" s="4">
        <v>118</v>
      </c>
      <c r="G496" s="4">
        <v>28.539348958333299</v>
      </c>
      <c r="H496" s="4">
        <v>0.61458333333333304</v>
      </c>
      <c r="I496" s="4">
        <v>0.51041666666666696</v>
      </c>
      <c r="J496" s="4">
        <v>9</v>
      </c>
      <c r="K496" s="4">
        <v>2012</v>
      </c>
      <c r="M496" s="11"/>
      <c r="O496" s="4">
        <v>0.61458333333333304</v>
      </c>
      <c r="P496" s="4">
        <v>0.61458333333333304</v>
      </c>
      <c r="Q496" s="4">
        <f>(P496-P495)/P495</f>
        <v>0.87301587301587213</v>
      </c>
      <c r="R496" s="4">
        <v>35</v>
      </c>
      <c r="S496" s="3">
        <v>41181</v>
      </c>
      <c r="T496" s="2">
        <f>IF(N496&gt;0,1,0)</f>
        <v>0</v>
      </c>
    </row>
    <row r="497" spans="1:20" x14ac:dyDescent="0.2">
      <c r="A497" s="6">
        <v>496</v>
      </c>
      <c r="B497" s="3">
        <v>41189</v>
      </c>
      <c r="C497" s="4" t="s">
        <v>0</v>
      </c>
      <c r="D497" s="4" t="s">
        <v>0</v>
      </c>
      <c r="E497" s="4">
        <v>192</v>
      </c>
      <c r="F497" s="4">
        <v>98</v>
      </c>
      <c r="G497" s="4">
        <v>28.484661458333299</v>
      </c>
      <c r="H497" s="4">
        <v>0.51041666666666696</v>
      </c>
      <c r="I497" s="4">
        <v>0.114583333333333</v>
      </c>
      <c r="J497" s="4">
        <v>10</v>
      </c>
      <c r="K497" s="4">
        <v>2012</v>
      </c>
      <c r="M497" s="11" t="s">
        <v>3</v>
      </c>
      <c r="O497" s="4">
        <v>0.51041666666666696</v>
      </c>
      <c r="P497" s="4">
        <v>0.51041666666666696</v>
      </c>
      <c r="Q497" s="4">
        <f>(P497-P496)/P496</f>
        <v>-0.16949152542372795</v>
      </c>
      <c r="R497" s="4">
        <v>36</v>
      </c>
      <c r="S497" s="3">
        <v>41189</v>
      </c>
      <c r="T497" s="2">
        <f>IF(N497&gt;0,1,0)</f>
        <v>0</v>
      </c>
    </row>
    <row r="498" spans="1:20" x14ac:dyDescent="0.2">
      <c r="A498" s="6">
        <v>497</v>
      </c>
      <c r="B498" s="3">
        <v>41197</v>
      </c>
      <c r="C498" s="4">
        <v>0.113782510425137</v>
      </c>
      <c r="D498" s="4">
        <v>9.7856534024079594E-2</v>
      </c>
      <c r="E498" s="4">
        <v>192</v>
      </c>
      <c r="F498" s="4">
        <v>22</v>
      </c>
      <c r="G498" s="4">
        <v>28.59375</v>
      </c>
      <c r="H498" s="4">
        <v>0.114583333333333</v>
      </c>
      <c r="I498" s="4">
        <v>0.22395833333333301</v>
      </c>
      <c r="J498" s="4">
        <v>10</v>
      </c>
      <c r="K498" s="4">
        <v>2012</v>
      </c>
      <c r="M498" s="11"/>
      <c r="O498" s="4">
        <v>0.114583333333333</v>
      </c>
      <c r="P498" s="4">
        <v>0.114583333333333</v>
      </c>
      <c r="Q498" s="4">
        <f>(P498-P497)/P497</f>
        <v>-0.77551020408163351</v>
      </c>
      <c r="R498" s="4">
        <v>37</v>
      </c>
      <c r="S498" s="3">
        <v>41197</v>
      </c>
      <c r="T498" s="2">
        <f>IF(N498&gt;0,1,0)</f>
        <v>0</v>
      </c>
    </row>
    <row r="499" spans="1:20" x14ac:dyDescent="0.2">
      <c r="A499" s="6">
        <v>498</v>
      </c>
      <c r="B499" s="3">
        <v>41205</v>
      </c>
      <c r="C499" s="4">
        <v>0.106596390523438</v>
      </c>
      <c r="D499" s="4">
        <v>0.10110343371828399</v>
      </c>
      <c r="E499" s="4">
        <v>192</v>
      </c>
      <c r="F499" s="4">
        <v>43</v>
      </c>
      <c r="G499" s="4">
        <v>28.886458333333302</v>
      </c>
      <c r="H499" s="4">
        <v>0.22395833333333301</v>
      </c>
      <c r="I499" s="4">
        <v>0.703125</v>
      </c>
      <c r="J499" s="4">
        <v>10</v>
      </c>
      <c r="K499" s="4">
        <v>2012</v>
      </c>
      <c r="M499" s="11"/>
      <c r="O499" s="4">
        <v>0.22395833333333301</v>
      </c>
      <c r="P499" s="4">
        <v>0.22395833333333301</v>
      </c>
      <c r="Q499" s="4">
        <f>(P499-P498)/P498</f>
        <v>0.95454545454545747</v>
      </c>
      <c r="R499" s="4">
        <v>38</v>
      </c>
      <c r="S499" s="3">
        <v>41205</v>
      </c>
      <c r="T499" s="2">
        <f>IF(N499&gt;0,1,0)</f>
        <v>0</v>
      </c>
    </row>
    <row r="500" spans="1:20" x14ac:dyDescent="0.2">
      <c r="A500" s="6">
        <v>499</v>
      </c>
      <c r="B500" s="7">
        <v>41213</v>
      </c>
      <c r="C500" s="4">
        <v>0.10659209745270901</v>
      </c>
      <c r="D500" s="4" t="s">
        <v>0</v>
      </c>
      <c r="E500" s="4">
        <v>192</v>
      </c>
      <c r="F500" s="4">
        <v>135</v>
      </c>
      <c r="G500" s="4">
        <v>28.898880208333299</v>
      </c>
      <c r="H500" s="4">
        <v>0.703125</v>
      </c>
      <c r="I500" s="4">
        <v>0.90104166666666696</v>
      </c>
      <c r="J500" s="4">
        <v>10</v>
      </c>
      <c r="K500" s="4">
        <v>2012</v>
      </c>
      <c r="M500" s="11" t="s">
        <v>2</v>
      </c>
      <c r="N500" s="4">
        <v>0.703125</v>
      </c>
      <c r="P500" s="4">
        <v>0.703125</v>
      </c>
      <c r="Q500" s="8">
        <f>(P500-P499)/P499</f>
        <v>2.1395348837209345</v>
      </c>
      <c r="R500" s="4">
        <v>39</v>
      </c>
      <c r="S500" s="7">
        <v>41213</v>
      </c>
      <c r="T500" s="2">
        <f>IF(N500&gt;0,1,0)</f>
        <v>1</v>
      </c>
    </row>
    <row r="501" spans="1:20" x14ac:dyDescent="0.2">
      <c r="A501" s="6">
        <v>500</v>
      </c>
      <c r="B501" s="3">
        <v>41221</v>
      </c>
      <c r="C501" s="4">
        <v>0.155653226056269</v>
      </c>
      <c r="D501" s="4" t="s">
        <v>0</v>
      </c>
      <c r="E501" s="4">
        <v>192</v>
      </c>
      <c r="F501" s="4">
        <v>173</v>
      </c>
      <c r="G501" s="4">
        <v>28.982968750000001</v>
      </c>
      <c r="H501" s="4">
        <v>0.90104166666666696</v>
      </c>
      <c r="I501" s="4">
        <v>1</v>
      </c>
      <c r="J501" s="4">
        <v>11</v>
      </c>
      <c r="K501" s="4">
        <v>2012</v>
      </c>
      <c r="M501" s="11"/>
      <c r="N501" s="4">
        <v>0.90104166666666696</v>
      </c>
      <c r="P501" s="4">
        <v>0.90104166666666696</v>
      </c>
      <c r="Q501" s="4">
        <f>(P501-P500)/P500</f>
        <v>0.28148148148148189</v>
      </c>
      <c r="R501" s="4">
        <v>40</v>
      </c>
      <c r="S501" s="3">
        <v>41221</v>
      </c>
      <c r="T501" s="2">
        <f>IF(N501&gt;0,1,0)</f>
        <v>1</v>
      </c>
    </row>
    <row r="502" spans="1:20" x14ac:dyDescent="0.2">
      <c r="A502" s="6">
        <v>501</v>
      </c>
      <c r="B502" s="3">
        <v>41229</v>
      </c>
      <c r="C502" s="4">
        <v>0.113987205638772</v>
      </c>
      <c r="D502" s="4">
        <v>9.62054878473282E-2</v>
      </c>
      <c r="E502" s="4">
        <v>192</v>
      </c>
      <c r="F502" s="4">
        <v>192</v>
      </c>
      <c r="G502" s="4">
        <v>29.046979166666699</v>
      </c>
      <c r="H502" s="4">
        <v>1</v>
      </c>
      <c r="I502" s="4">
        <v>1</v>
      </c>
      <c r="J502" s="4">
        <v>11</v>
      </c>
      <c r="K502" s="4">
        <v>2012</v>
      </c>
      <c r="M502" s="11"/>
      <c r="N502" s="4">
        <v>1</v>
      </c>
      <c r="P502" s="4">
        <v>1</v>
      </c>
      <c r="Q502" s="4">
        <f>(P502-P501)/P501</f>
        <v>0.10982658959537536</v>
      </c>
      <c r="R502" s="4">
        <v>41</v>
      </c>
      <c r="S502" s="3">
        <v>41229</v>
      </c>
      <c r="T502" s="2">
        <f>IF(N502&gt;0,1,0)</f>
        <v>1</v>
      </c>
    </row>
    <row r="503" spans="1:20" x14ac:dyDescent="0.2">
      <c r="A503" s="6">
        <v>502</v>
      </c>
      <c r="B503" s="3">
        <v>41237</v>
      </c>
      <c r="C503" s="4">
        <v>9.8459810018539401E-2</v>
      </c>
      <c r="D503" s="4" t="s">
        <v>0</v>
      </c>
      <c r="E503" s="4">
        <v>192</v>
      </c>
      <c r="F503" s="4">
        <v>192</v>
      </c>
      <c r="G503" s="4">
        <v>28.808359374999998</v>
      </c>
      <c r="H503" s="4">
        <v>1</v>
      </c>
      <c r="I503" s="4">
        <v>1</v>
      </c>
      <c r="J503" s="4">
        <v>11</v>
      </c>
      <c r="K503" s="4">
        <v>2012</v>
      </c>
      <c r="M503" s="11"/>
      <c r="N503" s="4">
        <v>1</v>
      </c>
      <c r="P503" s="4">
        <v>1</v>
      </c>
      <c r="Q503" s="4">
        <f>(P503-P502)/P502</f>
        <v>0</v>
      </c>
      <c r="R503" s="4">
        <v>42</v>
      </c>
      <c r="S503" s="3">
        <v>41237</v>
      </c>
      <c r="T503" s="2">
        <f>IF(N503&gt;0,1,0)</f>
        <v>1</v>
      </c>
    </row>
    <row r="504" spans="1:20" x14ac:dyDescent="0.2">
      <c r="A504" s="6">
        <v>503</v>
      </c>
      <c r="B504" s="3">
        <v>41245</v>
      </c>
      <c r="C504" s="4">
        <v>0.123730318689788</v>
      </c>
      <c r="D504" s="4" t="s">
        <v>0</v>
      </c>
      <c r="E504" s="4">
        <v>192</v>
      </c>
      <c r="F504" s="4">
        <v>192</v>
      </c>
      <c r="G504" s="4">
        <v>28.726276041666701</v>
      </c>
      <c r="H504" s="4">
        <v>1</v>
      </c>
      <c r="I504" s="4">
        <v>1</v>
      </c>
      <c r="J504" s="4">
        <v>12</v>
      </c>
      <c r="K504" s="4">
        <v>2012</v>
      </c>
      <c r="M504" s="11" t="s">
        <v>1</v>
      </c>
      <c r="N504" s="4">
        <v>1</v>
      </c>
      <c r="P504" s="4">
        <v>1</v>
      </c>
      <c r="Q504" s="4">
        <f>(P504-P503)/P503</f>
        <v>0</v>
      </c>
      <c r="R504" s="4">
        <v>43</v>
      </c>
      <c r="S504" s="3">
        <v>41245</v>
      </c>
      <c r="T504" s="2">
        <f>IF(N504&gt;0,1,0)</f>
        <v>1</v>
      </c>
    </row>
    <row r="505" spans="1:20" x14ac:dyDescent="0.2">
      <c r="A505" s="6">
        <v>504</v>
      </c>
      <c r="B505" s="3">
        <v>41253</v>
      </c>
      <c r="C505" s="4">
        <v>0.122266703809146</v>
      </c>
      <c r="D505" s="4">
        <v>0.115677752842506</v>
      </c>
      <c r="E505" s="4">
        <v>192</v>
      </c>
      <c r="F505" s="4">
        <v>192</v>
      </c>
      <c r="G505" s="4">
        <v>28.667552083333401</v>
      </c>
      <c r="H505" s="4">
        <v>1</v>
      </c>
      <c r="I505" s="4">
        <v>1</v>
      </c>
      <c r="J505" s="4">
        <v>12</v>
      </c>
      <c r="K505" s="4">
        <v>2012</v>
      </c>
      <c r="M505" s="5"/>
      <c r="N505" s="4">
        <v>1</v>
      </c>
      <c r="P505" s="4">
        <v>1</v>
      </c>
      <c r="Q505" s="4">
        <f>(P505-P504)/P504</f>
        <v>0</v>
      </c>
      <c r="R505" s="4">
        <v>44</v>
      </c>
      <c r="S505" s="3">
        <v>41253</v>
      </c>
      <c r="T505" s="2">
        <f>IF(N505&gt;0,1,0)</f>
        <v>1</v>
      </c>
    </row>
    <row r="506" spans="1:20" x14ac:dyDescent="0.2">
      <c r="A506" s="6">
        <v>505</v>
      </c>
      <c r="B506" s="3">
        <v>41261</v>
      </c>
      <c r="C506" s="4">
        <v>0.135935072104136</v>
      </c>
      <c r="D506" s="4">
        <v>0.110612291842699</v>
      </c>
      <c r="E506" s="4">
        <v>192</v>
      </c>
      <c r="F506" s="4">
        <v>192</v>
      </c>
      <c r="G506" s="4">
        <v>28.320234374999998</v>
      </c>
      <c r="H506" s="4">
        <v>1</v>
      </c>
      <c r="I506" s="4">
        <v>1</v>
      </c>
      <c r="J506" s="4">
        <v>12</v>
      </c>
      <c r="K506" s="4">
        <v>2012</v>
      </c>
      <c r="M506" s="5"/>
      <c r="N506" s="4">
        <v>1</v>
      </c>
      <c r="P506" s="4">
        <v>1</v>
      </c>
      <c r="Q506" s="4">
        <f>(P506-P505)/P505</f>
        <v>0</v>
      </c>
      <c r="R506" s="4">
        <v>45</v>
      </c>
      <c r="S506" s="3">
        <v>41261</v>
      </c>
      <c r="T506" s="2">
        <f>IF(N506&gt;0,1,0)</f>
        <v>1</v>
      </c>
    </row>
    <row r="507" spans="1:20" x14ac:dyDescent="0.2">
      <c r="A507" s="6">
        <v>506</v>
      </c>
      <c r="B507" s="3">
        <v>41269</v>
      </c>
      <c r="C507" s="4">
        <v>0.18010089209392</v>
      </c>
      <c r="D507" s="4">
        <v>0.13963006436824801</v>
      </c>
      <c r="E507" s="4">
        <v>144</v>
      </c>
      <c r="F507" s="4">
        <v>144</v>
      </c>
      <c r="G507" s="4">
        <v>28.4175347222222</v>
      </c>
      <c r="H507" s="4">
        <v>1</v>
      </c>
      <c r="I507" s="4">
        <v>1</v>
      </c>
      <c r="J507" s="4">
        <v>12</v>
      </c>
      <c r="K507" s="4">
        <v>2012</v>
      </c>
      <c r="M507" s="5"/>
      <c r="N507" s="4">
        <v>1</v>
      </c>
      <c r="P507" s="4">
        <v>1</v>
      </c>
      <c r="Q507" s="4">
        <f>(P507-P506)/P506</f>
        <v>0</v>
      </c>
      <c r="R507" s="4">
        <v>46</v>
      </c>
      <c r="S507" s="3">
        <v>41269</v>
      </c>
      <c r="T507" s="2">
        <f>IF(N507&gt;0,1,0)</f>
        <v>1</v>
      </c>
    </row>
    <row r="508" spans="1:20" x14ac:dyDescent="0.2">
      <c r="A508" s="6">
        <v>507</v>
      </c>
      <c r="B508" s="3">
        <v>41275</v>
      </c>
      <c r="C508" s="4">
        <v>0.161750754739484</v>
      </c>
      <c r="D508" s="4">
        <v>0.18240640064080599</v>
      </c>
      <c r="E508" s="4">
        <v>192</v>
      </c>
      <c r="F508" s="4">
        <v>192</v>
      </c>
      <c r="G508" s="4">
        <v>28.488541666666698</v>
      </c>
      <c r="H508" s="4">
        <v>1</v>
      </c>
      <c r="I508" s="4">
        <v>1</v>
      </c>
      <c r="J508" s="4">
        <v>1</v>
      </c>
      <c r="K508" s="4">
        <v>2013</v>
      </c>
      <c r="L508">
        <v>2013</v>
      </c>
      <c r="M508" s="11" t="s">
        <v>12</v>
      </c>
      <c r="N508" s="4">
        <v>1</v>
      </c>
      <c r="P508" s="4">
        <v>1</v>
      </c>
      <c r="Q508" s="4">
        <f>(P508-P507)/P507</f>
        <v>0</v>
      </c>
      <c r="R508" s="4">
        <v>1</v>
      </c>
      <c r="S508" s="3">
        <v>41275</v>
      </c>
      <c r="T508" s="2">
        <f>IF(N508&gt;0,1,0)</f>
        <v>1</v>
      </c>
    </row>
    <row r="509" spans="1:20" x14ac:dyDescent="0.2">
      <c r="A509" s="6">
        <v>508</v>
      </c>
      <c r="B509" s="3">
        <v>41283</v>
      </c>
      <c r="C509" s="4">
        <v>0.13461753435432899</v>
      </c>
      <c r="D509" s="4">
        <v>0.12844669260084601</v>
      </c>
      <c r="E509" s="4">
        <v>192</v>
      </c>
      <c r="F509" s="4">
        <v>192</v>
      </c>
      <c r="G509" s="4">
        <v>28.6056510416667</v>
      </c>
      <c r="H509" s="4">
        <v>1</v>
      </c>
      <c r="I509" s="4">
        <v>0.90625</v>
      </c>
      <c r="J509" s="4">
        <v>1</v>
      </c>
      <c r="K509" s="4">
        <v>2013</v>
      </c>
      <c r="M509" s="11"/>
      <c r="N509" s="4">
        <v>1</v>
      </c>
      <c r="P509" s="4">
        <v>1</v>
      </c>
      <c r="Q509" s="4">
        <f>(P509-P508)/P508</f>
        <v>0</v>
      </c>
      <c r="R509" s="4">
        <v>2</v>
      </c>
      <c r="S509" s="3">
        <v>41283</v>
      </c>
      <c r="T509" s="2">
        <f>IF(N509&gt;0,1,0)</f>
        <v>1</v>
      </c>
    </row>
    <row r="510" spans="1:20" x14ac:dyDescent="0.2">
      <c r="A510" s="6">
        <v>509</v>
      </c>
      <c r="B510" s="3">
        <v>41291</v>
      </c>
      <c r="C510" s="4">
        <v>0.15936105844436901</v>
      </c>
      <c r="D510" s="4">
        <v>0.11865441873669599</v>
      </c>
      <c r="E510" s="4">
        <v>192</v>
      </c>
      <c r="F510" s="4">
        <v>174</v>
      </c>
      <c r="G510" s="4">
        <v>28.930963541666699</v>
      </c>
      <c r="H510" s="4">
        <v>0.90625</v>
      </c>
      <c r="I510" s="4">
        <v>0.60416666666666696</v>
      </c>
      <c r="J510" s="4">
        <v>1</v>
      </c>
      <c r="K510" s="4">
        <v>2013</v>
      </c>
      <c r="M510" s="11"/>
      <c r="N510" s="4">
        <v>0.90625</v>
      </c>
      <c r="P510" s="4">
        <v>0.90625</v>
      </c>
      <c r="Q510" s="4">
        <f>(P510-P509)/P509</f>
        <v>-9.375E-2</v>
      </c>
      <c r="R510" s="4">
        <v>3</v>
      </c>
      <c r="S510" s="10">
        <v>41291</v>
      </c>
      <c r="T510" s="2">
        <f>IF(N510&gt;0,1,0)</f>
        <v>1</v>
      </c>
    </row>
    <row r="511" spans="1:20" x14ac:dyDescent="0.2">
      <c r="A511" s="6">
        <v>510</v>
      </c>
      <c r="B511" s="3">
        <v>41299</v>
      </c>
      <c r="C511" s="4">
        <v>0.12920295975105001</v>
      </c>
      <c r="D511" s="4">
        <v>0.101316925138235</v>
      </c>
      <c r="E511" s="4">
        <v>192</v>
      </c>
      <c r="F511" s="4">
        <v>116</v>
      </c>
      <c r="G511" s="4">
        <v>29.2412239583333</v>
      </c>
      <c r="H511" s="4">
        <v>0.60416666666666696</v>
      </c>
      <c r="I511" s="4">
        <v>0.68229166666666696</v>
      </c>
      <c r="J511" s="4">
        <v>1</v>
      </c>
      <c r="K511" s="4">
        <v>2013</v>
      </c>
      <c r="M511" s="11"/>
      <c r="O511" s="4">
        <v>0.60416666666666696</v>
      </c>
      <c r="P511" s="4">
        <v>0.60416666666666696</v>
      </c>
      <c r="Q511" s="9">
        <f>(P511-P510)/P510</f>
        <v>-0.33333333333333298</v>
      </c>
      <c r="R511" s="4">
        <v>4</v>
      </c>
      <c r="S511" s="3">
        <v>41299</v>
      </c>
      <c r="T511" s="2">
        <f>IF(N511&gt;0,1,0)</f>
        <v>0</v>
      </c>
    </row>
    <row r="512" spans="1:20" x14ac:dyDescent="0.2">
      <c r="A512" s="6">
        <v>511</v>
      </c>
      <c r="B512" s="3">
        <v>41307</v>
      </c>
      <c r="C512" s="4">
        <v>0.122807660068457</v>
      </c>
      <c r="D512" s="4">
        <v>9.3277910724282306E-2</v>
      </c>
      <c r="E512" s="4">
        <v>192</v>
      </c>
      <c r="F512" s="4">
        <v>131</v>
      </c>
      <c r="G512" s="4">
        <v>29.057161458333301</v>
      </c>
      <c r="H512" s="4">
        <v>0.68229166666666696</v>
      </c>
      <c r="I512" s="4">
        <v>0.296875</v>
      </c>
      <c r="J512" s="4">
        <v>2</v>
      </c>
      <c r="K512" s="4">
        <v>2013</v>
      </c>
      <c r="M512" s="11" t="s">
        <v>11</v>
      </c>
      <c r="O512" s="4">
        <v>0.68229166666666696</v>
      </c>
      <c r="P512" s="4">
        <v>0.68229166666666696</v>
      </c>
      <c r="Q512" s="4">
        <f>(P512-P511)/P511</f>
        <v>0.12931034482758613</v>
      </c>
      <c r="R512" s="4">
        <v>5</v>
      </c>
      <c r="S512" s="3">
        <v>41307</v>
      </c>
      <c r="T512" s="2">
        <f>IF(N512&gt;0,1,0)</f>
        <v>0</v>
      </c>
    </row>
    <row r="513" spans="1:20" x14ac:dyDescent="0.2">
      <c r="A513" s="6">
        <v>512</v>
      </c>
      <c r="B513" s="7">
        <v>41315</v>
      </c>
      <c r="C513" s="4">
        <v>9.3618524524400795E-2</v>
      </c>
      <c r="D513" s="4" t="s">
        <v>0</v>
      </c>
      <c r="E513" s="4">
        <v>192</v>
      </c>
      <c r="F513" s="4">
        <v>57</v>
      </c>
      <c r="G513" s="4">
        <v>29.083776041666699</v>
      </c>
      <c r="H513" s="4">
        <v>0.296875</v>
      </c>
      <c r="I513" s="4">
        <v>0</v>
      </c>
      <c r="J513" s="4">
        <v>2</v>
      </c>
      <c r="K513" s="4">
        <v>2013</v>
      </c>
      <c r="M513" s="11"/>
      <c r="O513" s="4">
        <v>0.296875</v>
      </c>
      <c r="P513" s="4">
        <v>0.296875</v>
      </c>
      <c r="Q513" s="4">
        <f>(P513-P512)/P512</f>
        <v>-0.56488549618320627</v>
      </c>
      <c r="R513" s="4">
        <v>6</v>
      </c>
      <c r="S513" s="3">
        <v>41315</v>
      </c>
      <c r="T513" s="2">
        <f>IF(N513&gt;0,1,0)</f>
        <v>0</v>
      </c>
    </row>
    <row r="514" spans="1:20" x14ac:dyDescent="0.2">
      <c r="A514" s="6">
        <v>513</v>
      </c>
      <c r="B514" s="3">
        <v>41323</v>
      </c>
      <c r="C514" s="4">
        <v>9.9561201890448606E-2</v>
      </c>
      <c r="D514" s="4">
        <v>8.6609239379564898E-2</v>
      </c>
      <c r="E514" s="4">
        <v>192</v>
      </c>
      <c r="F514" s="4">
        <v>0</v>
      </c>
      <c r="G514" s="4">
        <v>29.571979166666701</v>
      </c>
      <c r="H514" s="4">
        <v>0</v>
      </c>
      <c r="I514" s="4">
        <v>0.171875</v>
      </c>
      <c r="J514" s="4">
        <v>2</v>
      </c>
      <c r="K514" s="4">
        <v>2013</v>
      </c>
      <c r="M514" s="11"/>
      <c r="O514" s="4">
        <v>0.01</v>
      </c>
      <c r="P514" s="4">
        <v>0.01</v>
      </c>
      <c r="Q514" s="4">
        <f>(P514-P513)/P513</f>
        <v>-0.96631578947368413</v>
      </c>
      <c r="R514" s="4">
        <v>7</v>
      </c>
      <c r="S514" s="3">
        <v>41323</v>
      </c>
      <c r="T514" s="2">
        <f>IF(N514&gt;0,1,0)</f>
        <v>0</v>
      </c>
    </row>
    <row r="515" spans="1:20" x14ac:dyDescent="0.2">
      <c r="A515" s="6">
        <v>514</v>
      </c>
      <c r="B515" s="3">
        <v>41331</v>
      </c>
      <c r="C515" s="4">
        <v>9.7163912722434104E-2</v>
      </c>
      <c r="D515" s="4">
        <v>0.10128745933373801</v>
      </c>
      <c r="E515" s="4">
        <v>192</v>
      </c>
      <c r="F515" s="4">
        <v>33</v>
      </c>
      <c r="G515" s="4">
        <v>29.0338541666667</v>
      </c>
      <c r="H515" s="4">
        <v>0.171875</v>
      </c>
      <c r="I515" s="4">
        <v>0.19791666666666699</v>
      </c>
      <c r="J515" s="4">
        <v>2</v>
      </c>
      <c r="K515" s="4">
        <v>2013</v>
      </c>
      <c r="M515" s="11"/>
      <c r="O515" s="4">
        <v>0.171875</v>
      </c>
      <c r="P515" s="4">
        <v>0.171875</v>
      </c>
      <c r="Q515" s="4">
        <f>(P515-P514)/P514</f>
        <v>16.1875</v>
      </c>
      <c r="R515" s="4">
        <v>8</v>
      </c>
      <c r="S515" s="3">
        <v>41331</v>
      </c>
      <c r="T515" s="2">
        <f>IF(N515&gt;0,1,0)</f>
        <v>0</v>
      </c>
    </row>
    <row r="516" spans="1:20" x14ac:dyDescent="0.2">
      <c r="A516" s="6">
        <v>515</v>
      </c>
      <c r="B516" s="3">
        <v>41339</v>
      </c>
      <c r="C516" s="4">
        <v>0.104936097800318</v>
      </c>
      <c r="D516" s="4">
        <v>0.101522661745548</v>
      </c>
      <c r="E516" s="4">
        <v>192</v>
      </c>
      <c r="F516" s="4">
        <v>38</v>
      </c>
      <c r="G516" s="4">
        <v>29.267135416666701</v>
      </c>
      <c r="H516" s="4">
        <v>0.19791666666666699</v>
      </c>
      <c r="I516" s="4">
        <v>0</v>
      </c>
      <c r="J516" s="4">
        <v>3</v>
      </c>
      <c r="K516" s="4">
        <v>2013</v>
      </c>
      <c r="M516" s="11" t="s">
        <v>10</v>
      </c>
      <c r="O516" s="4">
        <v>0.19791666666666699</v>
      </c>
      <c r="P516" s="4">
        <v>0.19791666666666699</v>
      </c>
      <c r="Q516" s="4">
        <f>(P516-P515)/P515</f>
        <v>0.15151515151515341</v>
      </c>
      <c r="R516" s="4">
        <v>9</v>
      </c>
      <c r="S516" s="3">
        <v>41339</v>
      </c>
      <c r="T516" s="2">
        <f>IF(N516&gt;0,1,0)</f>
        <v>0</v>
      </c>
    </row>
    <row r="517" spans="1:20" x14ac:dyDescent="0.2">
      <c r="A517" s="6">
        <v>516</v>
      </c>
      <c r="B517" s="3">
        <v>41347</v>
      </c>
      <c r="C517" s="4">
        <v>0.100418256169983</v>
      </c>
      <c r="D517" s="4">
        <v>9.3751482665538802E-2</v>
      </c>
      <c r="E517" s="4">
        <v>192</v>
      </c>
      <c r="F517" s="4">
        <v>0</v>
      </c>
      <c r="G517" s="4">
        <v>29.889270833333299</v>
      </c>
      <c r="H517" s="4">
        <v>0</v>
      </c>
      <c r="I517" s="4">
        <v>1.0416666666666701E-2</v>
      </c>
      <c r="J517" s="4">
        <v>3</v>
      </c>
      <c r="K517" s="4">
        <v>2013</v>
      </c>
      <c r="M517" s="11"/>
      <c r="O517" s="4">
        <v>0.01</v>
      </c>
      <c r="P517" s="4">
        <v>0.01</v>
      </c>
      <c r="Q517" s="4">
        <f>(P517-P516)/P516</f>
        <v>-0.94947368421052636</v>
      </c>
      <c r="R517" s="4">
        <v>10</v>
      </c>
      <c r="S517" s="3">
        <v>41347</v>
      </c>
      <c r="T517" s="2">
        <f>IF(N517&gt;0,1,0)</f>
        <v>0</v>
      </c>
    </row>
    <row r="518" spans="1:20" x14ac:dyDescent="0.2">
      <c r="A518" s="6">
        <v>517</v>
      </c>
      <c r="B518" s="3">
        <v>41355</v>
      </c>
      <c r="C518" s="4">
        <v>9.0736083686351804E-2</v>
      </c>
      <c r="D518" s="4">
        <v>7.8871725747982693E-2</v>
      </c>
      <c r="E518" s="4">
        <v>192</v>
      </c>
      <c r="F518" s="4">
        <v>2</v>
      </c>
      <c r="G518" s="4">
        <v>29.887317708333299</v>
      </c>
      <c r="H518" s="4">
        <v>1.0416666666666701E-2</v>
      </c>
      <c r="I518" s="4">
        <v>0.22395833333333301</v>
      </c>
      <c r="J518" s="4">
        <v>3</v>
      </c>
      <c r="K518" s="4">
        <v>2013</v>
      </c>
      <c r="M518" s="11"/>
      <c r="O518" s="4">
        <v>1.0416666666666701E-2</v>
      </c>
      <c r="P518" s="4">
        <v>1.0416666666666701E-2</v>
      </c>
      <c r="Q518" s="4">
        <f>(P518-P517)/P517</f>
        <v>4.1666666666670057E-2</v>
      </c>
      <c r="R518" s="4">
        <v>11</v>
      </c>
      <c r="S518" s="3">
        <v>41355</v>
      </c>
      <c r="T518" s="2">
        <f>IF(N518&gt;0,1,0)</f>
        <v>0</v>
      </c>
    </row>
    <row r="519" spans="1:20" x14ac:dyDescent="0.2">
      <c r="A519" s="6">
        <v>518</v>
      </c>
      <c r="B519" s="3">
        <v>41363</v>
      </c>
      <c r="C519" s="4">
        <v>0.17283447086811099</v>
      </c>
      <c r="D519" s="4">
        <v>0.14492972195148501</v>
      </c>
      <c r="E519" s="4">
        <v>192</v>
      </c>
      <c r="F519" s="4">
        <v>43</v>
      </c>
      <c r="G519" s="4">
        <v>29.385026041666698</v>
      </c>
      <c r="H519" s="4">
        <v>0.22395833333333301</v>
      </c>
      <c r="I519" s="4">
        <v>0.15104166666666699</v>
      </c>
      <c r="J519" s="4">
        <v>3</v>
      </c>
      <c r="K519" s="4">
        <v>2013</v>
      </c>
      <c r="M519" s="11"/>
      <c r="O519" s="4">
        <v>0.22395833333333301</v>
      </c>
      <c r="P519" s="4">
        <v>0.22395833333333301</v>
      </c>
      <c r="Q519" s="4">
        <f>(P519-P518)/P518</f>
        <v>20.499999999999897</v>
      </c>
      <c r="R519" s="4">
        <v>12</v>
      </c>
      <c r="S519" s="3">
        <v>41363</v>
      </c>
      <c r="T519" s="2">
        <f>IF(N519&gt;0,1,0)</f>
        <v>0</v>
      </c>
    </row>
    <row r="520" spans="1:20" x14ac:dyDescent="0.2">
      <c r="A520" s="6">
        <v>519</v>
      </c>
      <c r="B520" s="3">
        <v>41371</v>
      </c>
      <c r="C520" s="4">
        <v>0.13645700464645999</v>
      </c>
      <c r="D520" s="4">
        <v>0.15166551868120801</v>
      </c>
      <c r="E520" s="4">
        <v>192</v>
      </c>
      <c r="F520" s="4">
        <v>29</v>
      </c>
      <c r="G520" s="4">
        <v>29.545937500000001</v>
      </c>
      <c r="H520" s="4">
        <v>0.15104166666666699</v>
      </c>
      <c r="I520" s="4">
        <v>6.25E-2</v>
      </c>
      <c r="J520" s="4">
        <v>4</v>
      </c>
      <c r="K520" s="4">
        <v>2013</v>
      </c>
      <c r="M520" s="11" t="s">
        <v>9</v>
      </c>
      <c r="O520" s="4">
        <v>0.15104166666666699</v>
      </c>
      <c r="P520" s="4">
        <v>0.15104166666666699</v>
      </c>
      <c r="Q520" s="4">
        <f>(P520-P519)/P519</f>
        <v>-0.32558139534883479</v>
      </c>
      <c r="R520" s="4">
        <v>13</v>
      </c>
      <c r="S520" s="3">
        <v>41371</v>
      </c>
      <c r="T520" s="2">
        <f>IF(N520&gt;0,1,0)</f>
        <v>0</v>
      </c>
    </row>
    <row r="521" spans="1:20" x14ac:dyDescent="0.2">
      <c r="A521" s="6">
        <v>520</v>
      </c>
      <c r="B521" s="3">
        <v>41379</v>
      </c>
      <c r="C521" s="4">
        <v>0.14755102464308301</v>
      </c>
      <c r="D521" s="4">
        <v>0.14816538741191199</v>
      </c>
      <c r="E521" s="4">
        <v>192</v>
      </c>
      <c r="F521" s="4">
        <v>12</v>
      </c>
      <c r="G521" s="4">
        <v>29.756015625</v>
      </c>
      <c r="H521" s="4">
        <v>6.25E-2</v>
      </c>
      <c r="I521" s="4">
        <v>0.703125</v>
      </c>
      <c r="J521" s="4">
        <v>4</v>
      </c>
      <c r="K521" s="4">
        <v>2013</v>
      </c>
      <c r="M521" s="11"/>
      <c r="O521" s="4">
        <v>6.25E-2</v>
      </c>
      <c r="P521" s="4">
        <v>6.25E-2</v>
      </c>
      <c r="Q521" s="4">
        <f>(P521-P520)/P520</f>
        <v>-0.58620689655172498</v>
      </c>
      <c r="R521" s="4">
        <v>14</v>
      </c>
      <c r="S521" s="3">
        <v>41379</v>
      </c>
      <c r="T521" s="2">
        <f>IF(N521&gt;0,1,0)</f>
        <v>0</v>
      </c>
    </row>
    <row r="522" spans="1:20" x14ac:dyDescent="0.2">
      <c r="A522" s="6">
        <v>521</v>
      </c>
      <c r="B522" s="3">
        <v>41387</v>
      </c>
      <c r="C522" s="4">
        <v>0.14656917280739301</v>
      </c>
      <c r="D522" s="4">
        <v>0.14396347105503099</v>
      </c>
      <c r="E522" s="4">
        <v>192</v>
      </c>
      <c r="F522" s="4">
        <v>135</v>
      </c>
      <c r="G522" s="4">
        <v>29.583541666666701</v>
      </c>
      <c r="H522" s="4">
        <v>0.703125</v>
      </c>
      <c r="I522" s="4">
        <v>0.125</v>
      </c>
      <c r="J522" s="4">
        <v>4</v>
      </c>
      <c r="K522" s="4">
        <v>2013</v>
      </c>
      <c r="M522" s="11"/>
      <c r="O522" s="4">
        <v>0.703125</v>
      </c>
      <c r="P522" s="4">
        <v>0.703125</v>
      </c>
      <c r="Q522" s="4">
        <f>(P522-P521)/P521</f>
        <v>10.25</v>
      </c>
      <c r="R522" s="4">
        <v>15</v>
      </c>
      <c r="S522" s="3">
        <v>41387</v>
      </c>
      <c r="T522" s="2">
        <f>IF(N522&gt;0,1,0)</f>
        <v>0</v>
      </c>
    </row>
    <row r="523" spans="1:20" x14ac:dyDescent="0.2">
      <c r="A523" s="6">
        <v>522</v>
      </c>
      <c r="B523" s="3">
        <v>41395</v>
      </c>
      <c r="C523" s="4">
        <v>0.176670180537083</v>
      </c>
      <c r="D523" s="4">
        <v>0.175333040455977</v>
      </c>
      <c r="E523" s="4">
        <v>192</v>
      </c>
      <c r="F523" s="4">
        <v>24</v>
      </c>
      <c r="G523" s="4">
        <v>28.9065885416667</v>
      </c>
      <c r="H523" s="4">
        <v>0.125</v>
      </c>
      <c r="I523" s="4">
        <v>5.2083333333333301E-2</v>
      </c>
      <c r="J523" s="4">
        <v>5</v>
      </c>
      <c r="K523" s="4">
        <v>2013</v>
      </c>
      <c r="M523" s="11" t="s">
        <v>8</v>
      </c>
      <c r="O523" s="4">
        <v>0.125</v>
      </c>
      <c r="P523" s="4">
        <v>0.125</v>
      </c>
      <c r="Q523" s="4">
        <f>(P523-P522)/P522</f>
        <v>-0.82222222222222219</v>
      </c>
      <c r="R523" s="4">
        <v>16</v>
      </c>
      <c r="S523" s="3">
        <v>41395</v>
      </c>
      <c r="T523" s="2">
        <f>IF(N523&gt;0,1,0)</f>
        <v>0</v>
      </c>
    </row>
    <row r="524" spans="1:20" x14ac:dyDescent="0.2">
      <c r="A524" s="6">
        <v>523</v>
      </c>
      <c r="B524" s="3">
        <v>41403</v>
      </c>
      <c r="C524" s="4">
        <v>0.17068679464030101</v>
      </c>
      <c r="D524" s="4">
        <v>0.16530795643727</v>
      </c>
      <c r="E524" s="4">
        <v>192</v>
      </c>
      <c r="F524" s="4">
        <v>10</v>
      </c>
      <c r="G524" s="4">
        <v>28.422786458333398</v>
      </c>
      <c r="H524" s="4">
        <v>5.2083333333333301E-2</v>
      </c>
      <c r="I524" s="4">
        <v>0.32291666666666702</v>
      </c>
      <c r="J524" s="4">
        <v>5</v>
      </c>
      <c r="K524" s="4">
        <v>2013</v>
      </c>
      <c r="M524" s="11"/>
      <c r="O524" s="4">
        <v>5.2083333333333301E-2</v>
      </c>
      <c r="P524" s="4">
        <v>5.2083333333333301E-2</v>
      </c>
      <c r="Q524" s="4">
        <f>(P524-P523)/P523</f>
        <v>-0.58333333333333359</v>
      </c>
      <c r="R524" s="4">
        <v>17</v>
      </c>
      <c r="S524" s="3">
        <v>41403</v>
      </c>
      <c r="T524" s="2">
        <f>IF(N524&gt;0,1,0)</f>
        <v>0</v>
      </c>
    </row>
    <row r="525" spans="1:20" x14ac:dyDescent="0.2">
      <c r="A525" s="6">
        <v>524</v>
      </c>
      <c r="B525" s="7">
        <v>41411</v>
      </c>
      <c r="C525" s="4">
        <v>0.195947633331849</v>
      </c>
      <c r="D525" s="4">
        <v>0.20482175300518701</v>
      </c>
      <c r="E525" s="4">
        <v>192</v>
      </c>
      <c r="F525" s="4">
        <v>62</v>
      </c>
      <c r="G525" s="4">
        <v>28.4090364583334</v>
      </c>
      <c r="H525" s="4">
        <v>0.32291666666666702</v>
      </c>
      <c r="I525" s="4">
        <v>0.47395833333333298</v>
      </c>
      <c r="J525" s="4">
        <v>5</v>
      </c>
      <c r="K525" s="4">
        <v>2013</v>
      </c>
      <c r="M525" s="11"/>
      <c r="N525" s="4">
        <v>0.32291666666666702</v>
      </c>
      <c r="P525" s="4">
        <v>0.32291666666666702</v>
      </c>
      <c r="Q525" s="8">
        <f>(P525-P524)/P524</f>
        <v>5.2000000000000099</v>
      </c>
      <c r="R525" s="4">
        <v>18</v>
      </c>
      <c r="S525" s="7">
        <v>41411</v>
      </c>
      <c r="T525" s="2">
        <f>IF(N525&gt;0,1,0)</f>
        <v>1</v>
      </c>
    </row>
    <row r="526" spans="1:20" x14ac:dyDescent="0.2">
      <c r="A526" s="6">
        <v>525</v>
      </c>
      <c r="B526" s="3">
        <v>41419</v>
      </c>
      <c r="C526" s="4">
        <v>0.19186147478305601</v>
      </c>
      <c r="D526" s="4">
        <v>0.18834611028432799</v>
      </c>
      <c r="E526" s="4">
        <v>192</v>
      </c>
      <c r="F526" s="4">
        <v>91</v>
      </c>
      <c r="G526" s="4">
        <v>28.026796874999999</v>
      </c>
      <c r="H526" s="4">
        <v>0.47395833333333298</v>
      </c>
      <c r="I526" s="4">
        <v>0.47916666666666702</v>
      </c>
      <c r="J526" s="4">
        <v>5</v>
      </c>
      <c r="K526" s="4">
        <v>2013</v>
      </c>
      <c r="M526" s="11"/>
      <c r="N526" s="4">
        <v>0.47395833333333298</v>
      </c>
      <c r="P526" s="4">
        <v>0.47395833333333298</v>
      </c>
      <c r="Q526" s="4">
        <f>(P526-P525)/P525</f>
        <v>0.46774193548386828</v>
      </c>
      <c r="R526" s="4">
        <v>19</v>
      </c>
      <c r="S526" s="3">
        <v>41419</v>
      </c>
      <c r="T526" s="2">
        <f>IF(N526&gt;0,1,0)</f>
        <v>1</v>
      </c>
    </row>
    <row r="527" spans="1:20" x14ac:dyDescent="0.2">
      <c r="A527" s="6">
        <v>526</v>
      </c>
      <c r="B527" s="3">
        <v>41427</v>
      </c>
      <c r="C527" s="4">
        <v>0.23184032611390401</v>
      </c>
      <c r="D527" s="4">
        <v>0.211628024776777</v>
      </c>
      <c r="E527" s="4">
        <v>192</v>
      </c>
      <c r="F527" s="4">
        <v>92</v>
      </c>
      <c r="G527" s="4">
        <v>27.810234375</v>
      </c>
      <c r="H527" s="4">
        <v>0.47916666666666702</v>
      </c>
      <c r="I527" s="4">
        <v>0.98958333333333304</v>
      </c>
      <c r="J527" s="4">
        <v>6</v>
      </c>
      <c r="K527" s="4">
        <v>2013</v>
      </c>
      <c r="M527" s="11" t="s">
        <v>7</v>
      </c>
      <c r="N527" s="4">
        <v>0.47916666666666702</v>
      </c>
      <c r="P527" s="4">
        <v>0.47916666666666702</v>
      </c>
      <c r="Q527" s="4">
        <f>(P527-P526)/P526</f>
        <v>1.098901098901248E-2</v>
      </c>
      <c r="R527" s="4">
        <v>20</v>
      </c>
      <c r="S527" s="3">
        <v>41427</v>
      </c>
      <c r="T527" s="2">
        <f>IF(N527&gt;0,1,0)</f>
        <v>1</v>
      </c>
    </row>
    <row r="528" spans="1:20" x14ac:dyDescent="0.2">
      <c r="A528" s="6">
        <v>527</v>
      </c>
      <c r="B528" s="3">
        <v>41435</v>
      </c>
      <c r="C528" s="4">
        <v>0.202980060440799</v>
      </c>
      <c r="D528" s="4">
        <v>0.170918526748816</v>
      </c>
      <c r="E528" s="4">
        <v>192</v>
      </c>
      <c r="F528" s="4">
        <v>190</v>
      </c>
      <c r="G528" s="4">
        <v>27.7894010416667</v>
      </c>
      <c r="H528" s="4">
        <v>0.98958333333333304</v>
      </c>
      <c r="I528" s="4">
        <v>0.53125</v>
      </c>
      <c r="J528" s="4">
        <v>6</v>
      </c>
      <c r="K528" s="4">
        <v>2013</v>
      </c>
      <c r="M528" s="11"/>
      <c r="N528" s="4">
        <v>0.98958333333333304</v>
      </c>
      <c r="P528" s="4">
        <v>0.98958333333333304</v>
      </c>
      <c r="Q528" s="4">
        <f>(P528-P527)/P527</f>
        <v>1.0652173913043459</v>
      </c>
      <c r="R528" s="4">
        <v>21</v>
      </c>
      <c r="S528" s="3">
        <v>41435</v>
      </c>
      <c r="T528" s="2">
        <f>IF(N528&gt;0,1,0)</f>
        <v>1</v>
      </c>
    </row>
    <row r="529" spans="1:20" x14ac:dyDescent="0.2">
      <c r="A529" s="6">
        <v>528</v>
      </c>
      <c r="B529" s="3">
        <v>41443</v>
      </c>
      <c r="C529" s="4">
        <v>0.180677278283632</v>
      </c>
      <c r="D529" s="4">
        <v>9.8664112389087705E-2</v>
      </c>
      <c r="E529" s="4">
        <v>192</v>
      </c>
      <c r="F529" s="4">
        <v>102</v>
      </c>
      <c r="G529" s="4">
        <v>27.768411458333301</v>
      </c>
      <c r="H529" s="4">
        <v>0.53125</v>
      </c>
      <c r="I529" s="4">
        <v>0.23958333333333301</v>
      </c>
      <c r="J529" s="4">
        <v>6</v>
      </c>
      <c r="K529" s="4">
        <v>2013</v>
      </c>
      <c r="M529" s="11"/>
      <c r="N529" s="4">
        <v>0.53125</v>
      </c>
      <c r="P529" s="4">
        <v>0.53125</v>
      </c>
      <c r="Q529" s="4">
        <f>(P529-P528)/P528</f>
        <v>-0.46315789473684194</v>
      </c>
      <c r="R529" s="4">
        <v>22</v>
      </c>
      <c r="S529" s="3">
        <v>41443</v>
      </c>
      <c r="T529" s="2">
        <f>IF(N529&gt;0,1,0)</f>
        <v>1</v>
      </c>
    </row>
    <row r="530" spans="1:20" x14ac:dyDescent="0.2">
      <c r="A530" s="6">
        <v>529</v>
      </c>
      <c r="B530" s="3">
        <v>41451</v>
      </c>
      <c r="C530" s="4">
        <v>0.120282970594637</v>
      </c>
      <c r="D530" s="4">
        <v>0.106103837490082</v>
      </c>
      <c r="E530" s="4">
        <v>192</v>
      </c>
      <c r="F530" s="4">
        <v>46</v>
      </c>
      <c r="G530" s="4">
        <v>27.9990104166666</v>
      </c>
      <c r="H530" s="4">
        <v>0.23958333333333301</v>
      </c>
      <c r="I530" s="4">
        <v>0.15625</v>
      </c>
      <c r="J530" s="4">
        <v>6</v>
      </c>
      <c r="K530" s="4">
        <v>2013</v>
      </c>
      <c r="M530" s="11"/>
      <c r="N530" s="4">
        <v>0.23958333333333301</v>
      </c>
      <c r="P530" s="4">
        <v>0.23958333333333301</v>
      </c>
      <c r="Q530" s="4">
        <f>(P530-P529)/P529</f>
        <v>-0.54901960784313786</v>
      </c>
      <c r="R530" s="4">
        <v>23</v>
      </c>
      <c r="S530" s="3">
        <v>41451</v>
      </c>
      <c r="T530" s="2">
        <f>IF(N530&gt;0,1,0)</f>
        <v>1</v>
      </c>
    </row>
    <row r="531" spans="1:20" x14ac:dyDescent="0.2">
      <c r="A531" s="6">
        <v>530</v>
      </c>
      <c r="B531" s="7">
        <v>41459</v>
      </c>
      <c r="C531" s="4">
        <v>0.13233618883817799</v>
      </c>
      <c r="D531" s="4">
        <v>0.122308554748694</v>
      </c>
      <c r="E531" s="4">
        <v>192</v>
      </c>
      <c r="F531" s="4">
        <v>30</v>
      </c>
      <c r="G531" s="4">
        <v>27.945937499999999</v>
      </c>
      <c r="H531" s="4">
        <v>0.15625</v>
      </c>
      <c r="I531" s="4">
        <v>0</v>
      </c>
      <c r="J531" s="4">
        <v>7</v>
      </c>
      <c r="K531" s="4">
        <v>2013</v>
      </c>
      <c r="M531" s="11" t="s">
        <v>6</v>
      </c>
      <c r="N531" s="4">
        <v>0.15625</v>
      </c>
      <c r="P531" s="4">
        <v>0.15625</v>
      </c>
      <c r="Q531" s="4">
        <f>(P531-P530)/P530</f>
        <v>-0.34782608695652084</v>
      </c>
      <c r="R531" s="4">
        <v>24</v>
      </c>
      <c r="S531" s="7">
        <v>41459</v>
      </c>
      <c r="T531" s="2">
        <f>IF(N531&gt;0,1,0)</f>
        <v>1</v>
      </c>
    </row>
    <row r="532" spans="1:20" x14ac:dyDescent="0.2">
      <c r="A532" s="6">
        <v>531</v>
      </c>
      <c r="B532" s="3">
        <v>41467</v>
      </c>
      <c r="C532" s="4">
        <v>0.12219462254279</v>
      </c>
      <c r="D532" s="4">
        <v>0.11149713397026099</v>
      </c>
      <c r="E532" s="4">
        <v>192</v>
      </c>
      <c r="F532" s="4">
        <v>0</v>
      </c>
      <c r="G532" s="4">
        <v>27.857369791666599</v>
      </c>
      <c r="H532" s="4">
        <v>0</v>
      </c>
      <c r="I532" s="4">
        <v>5.2083333333333296E-3</v>
      </c>
      <c r="J532" s="4">
        <v>7</v>
      </c>
      <c r="K532" s="4">
        <v>2013</v>
      </c>
      <c r="M532" s="11"/>
      <c r="O532" s="4">
        <v>0.01</v>
      </c>
      <c r="P532" s="4">
        <v>0.01</v>
      </c>
      <c r="Q532" s="8">
        <f>(P532-P531)/P531</f>
        <v>-0.93599999999999994</v>
      </c>
      <c r="R532" s="4">
        <v>25</v>
      </c>
      <c r="S532" s="3">
        <v>41467</v>
      </c>
      <c r="T532" s="2">
        <f>IF(N532&gt;0,1,0)</f>
        <v>0</v>
      </c>
    </row>
    <row r="533" spans="1:20" x14ac:dyDescent="0.2">
      <c r="A533" s="6">
        <v>532</v>
      </c>
      <c r="B533" s="3">
        <v>41475</v>
      </c>
      <c r="C533" s="4">
        <v>0.12693606507386601</v>
      </c>
      <c r="D533" s="4">
        <v>0.114188127219677</v>
      </c>
      <c r="E533" s="4">
        <v>192</v>
      </c>
      <c r="F533" s="4">
        <v>1</v>
      </c>
      <c r="G533" s="4">
        <v>27.822343750000002</v>
      </c>
      <c r="H533" s="4">
        <v>5.2083333333333296E-3</v>
      </c>
      <c r="I533" s="4">
        <v>0</v>
      </c>
      <c r="J533" s="4">
        <v>7</v>
      </c>
      <c r="K533" s="4">
        <v>2013</v>
      </c>
      <c r="M533" s="11"/>
      <c r="O533" s="4">
        <v>5.2083333333333296E-3</v>
      </c>
      <c r="P533" s="4">
        <v>5.2083333333333296E-3</v>
      </c>
      <c r="Q533" s="4">
        <f>(P533-P532)/P532</f>
        <v>-0.47916666666666707</v>
      </c>
      <c r="R533" s="4">
        <v>26</v>
      </c>
      <c r="S533" s="3">
        <v>41475</v>
      </c>
      <c r="T533" s="2">
        <f>IF(N533&gt;0,1,0)</f>
        <v>0</v>
      </c>
    </row>
    <row r="534" spans="1:20" x14ac:dyDescent="0.2">
      <c r="A534" s="6">
        <v>533</v>
      </c>
      <c r="B534" s="3">
        <v>41483</v>
      </c>
      <c r="C534" s="4">
        <v>0.13603005558252301</v>
      </c>
      <c r="D534" s="4" t="s">
        <v>0</v>
      </c>
      <c r="E534" s="4">
        <v>192</v>
      </c>
      <c r="F534" s="4">
        <v>0</v>
      </c>
      <c r="G534" s="4">
        <v>27.899973958333401</v>
      </c>
      <c r="H534" s="4">
        <v>0</v>
      </c>
      <c r="I534" s="4">
        <v>0</v>
      </c>
      <c r="J534" s="4">
        <v>7</v>
      </c>
      <c r="K534" s="4">
        <v>2013</v>
      </c>
      <c r="M534" s="11"/>
      <c r="O534" s="4">
        <v>0.01</v>
      </c>
      <c r="P534" s="4">
        <v>0.01</v>
      </c>
      <c r="Q534" s="4">
        <f>(P534-P533)/P533</f>
        <v>0.92000000000000137</v>
      </c>
      <c r="R534" s="4">
        <v>27</v>
      </c>
      <c r="S534" s="3">
        <v>41483</v>
      </c>
      <c r="T534" s="2">
        <f>IF(N534&gt;0,1,0)</f>
        <v>0</v>
      </c>
    </row>
    <row r="535" spans="1:20" x14ac:dyDescent="0.2">
      <c r="A535" s="6">
        <v>534</v>
      </c>
      <c r="B535" s="3">
        <v>41491</v>
      </c>
      <c r="C535" s="4">
        <v>8.9763631197539204E-2</v>
      </c>
      <c r="D535" s="4">
        <v>8.7153002619743306E-2</v>
      </c>
      <c r="E535" s="4">
        <v>192</v>
      </c>
      <c r="F535" s="4">
        <v>0</v>
      </c>
      <c r="G535" s="4">
        <v>27.987031250000001</v>
      </c>
      <c r="H535" s="4">
        <v>0</v>
      </c>
      <c r="I535" s="4">
        <v>0</v>
      </c>
      <c r="J535" s="4">
        <v>8</v>
      </c>
      <c r="K535" s="4">
        <v>2013</v>
      </c>
      <c r="M535" s="11" t="s">
        <v>5</v>
      </c>
      <c r="O535" s="4">
        <v>0.01</v>
      </c>
      <c r="P535" s="4">
        <v>0.01</v>
      </c>
      <c r="Q535" s="4">
        <f>(P535-P534)/P534</f>
        <v>0</v>
      </c>
      <c r="R535" s="4">
        <v>28</v>
      </c>
      <c r="S535" s="3">
        <v>41491</v>
      </c>
      <c r="T535" s="2">
        <f>IF(N535&gt;0,1,0)</f>
        <v>0</v>
      </c>
    </row>
    <row r="536" spans="1:20" x14ac:dyDescent="0.2">
      <c r="A536" s="6">
        <v>535</v>
      </c>
      <c r="B536" s="3">
        <v>41499</v>
      </c>
      <c r="C536" s="4">
        <v>9.4216362185155306E-2</v>
      </c>
      <c r="D536" s="4">
        <v>7.8662872314453097E-2</v>
      </c>
      <c r="E536" s="4">
        <v>192</v>
      </c>
      <c r="F536" s="4">
        <v>0</v>
      </c>
      <c r="G536" s="4">
        <v>27.867890625000001</v>
      </c>
      <c r="H536" s="4">
        <v>0</v>
      </c>
      <c r="I536" s="4">
        <v>0</v>
      </c>
      <c r="J536" s="4">
        <v>8</v>
      </c>
      <c r="K536" s="4">
        <v>2013</v>
      </c>
      <c r="M536" s="11"/>
      <c r="O536" s="4">
        <v>0.01</v>
      </c>
      <c r="P536" s="4">
        <v>0.01</v>
      </c>
      <c r="Q536" s="4">
        <f>(P536-P535)/P535</f>
        <v>0</v>
      </c>
      <c r="R536" s="4">
        <v>29</v>
      </c>
      <c r="S536" s="3">
        <v>41499</v>
      </c>
      <c r="T536" s="2">
        <f>IF(N536&gt;0,1,0)</f>
        <v>0</v>
      </c>
    </row>
    <row r="537" spans="1:20" x14ac:dyDescent="0.2">
      <c r="A537" s="6">
        <v>536</v>
      </c>
      <c r="B537" s="3">
        <v>41507</v>
      </c>
      <c r="C537" s="4">
        <v>9.8697975906262905E-2</v>
      </c>
      <c r="D537" s="4">
        <v>7.9626408716042804E-2</v>
      </c>
      <c r="E537" s="4">
        <v>192</v>
      </c>
      <c r="F537" s="4">
        <v>0</v>
      </c>
      <c r="G537" s="4">
        <v>27.5722395833333</v>
      </c>
      <c r="H537" s="4">
        <v>0</v>
      </c>
      <c r="I537" s="4">
        <v>0</v>
      </c>
      <c r="J537" s="4">
        <v>8</v>
      </c>
      <c r="K537" s="4">
        <v>2013</v>
      </c>
      <c r="M537" s="11"/>
      <c r="O537" s="4">
        <v>0.01</v>
      </c>
      <c r="P537" s="4">
        <v>0.01</v>
      </c>
      <c r="Q537" s="4">
        <f>(P537-P536)/P536</f>
        <v>0</v>
      </c>
      <c r="R537" s="4">
        <v>30</v>
      </c>
      <c r="S537" s="3">
        <v>41507</v>
      </c>
      <c r="T537" s="2">
        <f>IF(N537&gt;0,1,0)</f>
        <v>0</v>
      </c>
    </row>
    <row r="538" spans="1:20" x14ac:dyDescent="0.2">
      <c r="A538" s="6">
        <v>537</v>
      </c>
      <c r="B538" s="3">
        <v>41515</v>
      </c>
      <c r="C538" s="4">
        <v>9.56863448023796E-2</v>
      </c>
      <c r="D538" s="4" t="s">
        <v>0</v>
      </c>
      <c r="E538" s="4">
        <v>192</v>
      </c>
      <c r="F538" s="4">
        <v>0</v>
      </c>
      <c r="G538" s="4">
        <v>27.674244791666698</v>
      </c>
      <c r="H538" s="4">
        <v>0</v>
      </c>
      <c r="I538" s="4">
        <v>0.171875</v>
      </c>
      <c r="J538" s="4">
        <v>8</v>
      </c>
      <c r="K538" s="4">
        <v>2013</v>
      </c>
      <c r="M538" s="11"/>
      <c r="O538" s="4">
        <v>0.01</v>
      </c>
      <c r="P538" s="4">
        <v>0.01</v>
      </c>
      <c r="Q538" s="4">
        <f>(P538-P537)/P537</f>
        <v>0</v>
      </c>
      <c r="R538" s="4">
        <v>31</v>
      </c>
      <c r="S538" s="3">
        <v>41515</v>
      </c>
      <c r="T538" s="2">
        <f>IF(N538&gt;0,1,0)</f>
        <v>0</v>
      </c>
    </row>
    <row r="539" spans="1:20" x14ac:dyDescent="0.2">
      <c r="A539" s="6">
        <v>538</v>
      </c>
      <c r="B539" s="3">
        <v>41523</v>
      </c>
      <c r="C539" s="4">
        <v>9.1348445663849503E-2</v>
      </c>
      <c r="D539" s="4" t="s">
        <v>0</v>
      </c>
      <c r="E539" s="4">
        <v>192</v>
      </c>
      <c r="F539" s="4">
        <v>33</v>
      </c>
      <c r="G539" s="4">
        <v>27.556171875</v>
      </c>
      <c r="H539" s="4">
        <v>0.171875</v>
      </c>
      <c r="I539" s="4">
        <v>5.2083333333333296E-3</v>
      </c>
      <c r="J539" s="4">
        <v>9</v>
      </c>
      <c r="K539" s="4">
        <v>2013</v>
      </c>
      <c r="M539" s="11" t="s">
        <v>4</v>
      </c>
      <c r="O539" s="4">
        <v>0.171875</v>
      </c>
      <c r="P539" s="4">
        <v>0.171875</v>
      </c>
      <c r="Q539" s="4">
        <f>(P539-P538)/P538</f>
        <v>16.1875</v>
      </c>
      <c r="R539" s="4">
        <v>32</v>
      </c>
      <c r="S539" s="3">
        <v>41523</v>
      </c>
      <c r="T539" s="2">
        <f>IF(N539&gt;0,1,0)</f>
        <v>0</v>
      </c>
    </row>
    <row r="540" spans="1:20" x14ac:dyDescent="0.2">
      <c r="A540" s="6">
        <v>539</v>
      </c>
      <c r="B540" s="3">
        <v>41531</v>
      </c>
      <c r="C540" s="4">
        <v>8.5904139404495594E-2</v>
      </c>
      <c r="D540" s="4" t="s">
        <v>0</v>
      </c>
      <c r="E540" s="4">
        <v>192</v>
      </c>
      <c r="F540" s="4">
        <v>1</v>
      </c>
      <c r="G540" s="4">
        <v>27.6425520833333</v>
      </c>
      <c r="H540" s="4">
        <v>5.2083333333333296E-3</v>
      </c>
      <c r="I540" s="4">
        <v>0.104166666666667</v>
      </c>
      <c r="J540" s="4">
        <v>9</v>
      </c>
      <c r="K540" s="4">
        <v>2013</v>
      </c>
      <c r="M540" s="11"/>
      <c r="O540" s="4">
        <v>5.2083333333333296E-3</v>
      </c>
      <c r="P540" s="4">
        <v>5.2083333333333296E-3</v>
      </c>
      <c r="Q540" s="4">
        <f>(P540-P539)/P539</f>
        <v>-0.96969696969696961</v>
      </c>
      <c r="R540" s="4">
        <v>33</v>
      </c>
      <c r="S540" s="3">
        <v>41531</v>
      </c>
      <c r="T540" s="2">
        <f>IF(N540&gt;0,1,0)</f>
        <v>0</v>
      </c>
    </row>
    <row r="541" spans="1:20" x14ac:dyDescent="0.2">
      <c r="A541" s="6">
        <v>540</v>
      </c>
      <c r="B541" s="3">
        <v>41539</v>
      </c>
      <c r="C541" s="4">
        <v>0.139308532575766</v>
      </c>
      <c r="D541" s="4">
        <v>8.6985114961862606E-2</v>
      </c>
      <c r="E541" s="4">
        <v>192</v>
      </c>
      <c r="F541" s="4">
        <v>20</v>
      </c>
      <c r="G541" s="4">
        <v>27.972395833333302</v>
      </c>
      <c r="H541" s="4">
        <v>0.104166666666667</v>
      </c>
      <c r="I541" s="4">
        <v>6.7708333333333301E-2</v>
      </c>
      <c r="J541" s="4">
        <v>9</v>
      </c>
      <c r="K541" s="4">
        <v>2013</v>
      </c>
      <c r="M541" s="11"/>
      <c r="O541" s="4">
        <v>0.104166666666667</v>
      </c>
      <c r="P541" s="4">
        <v>0.104166666666667</v>
      </c>
      <c r="Q541" s="4">
        <f>(P541-P540)/P540</f>
        <v>19.000000000000078</v>
      </c>
      <c r="R541" s="4">
        <v>34</v>
      </c>
      <c r="S541" s="3">
        <v>41539</v>
      </c>
      <c r="T541" s="2">
        <f>IF(N541&gt;0,1,0)</f>
        <v>0</v>
      </c>
    </row>
    <row r="542" spans="1:20" x14ac:dyDescent="0.2">
      <c r="A542" s="6">
        <v>541</v>
      </c>
      <c r="B542" s="3">
        <v>41547</v>
      </c>
      <c r="C542" s="4">
        <v>9.7834361906068895E-2</v>
      </c>
      <c r="D542" s="4">
        <v>9.3222558498382596E-2</v>
      </c>
      <c r="E542" s="4">
        <v>192</v>
      </c>
      <c r="F542" s="4">
        <v>13</v>
      </c>
      <c r="G542" s="4">
        <v>28.287473958333301</v>
      </c>
      <c r="H542" s="4">
        <v>6.7708333333333301E-2</v>
      </c>
      <c r="I542" s="4">
        <v>0.71875</v>
      </c>
      <c r="J542" s="4">
        <v>9</v>
      </c>
      <c r="K542" s="4">
        <v>2013</v>
      </c>
      <c r="M542" s="11"/>
      <c r="O542" s="4">
        <v>6.7708333333333301E-2</v>
      </c>
      <c r="P542" s="4">
        <v>6.7708333333333301E-2</v>
      </c>
      <c r="Q542" s="4">
        <f>(P542-P541)/P541</f>
        <v>-0.35000000000000242</v>
      </c>
      <c r="R542" s="4">
        <v>35</v>
      </c>
      <c r="S542" s="3">
        <v>41547</v>
      </c>
      <c r="T542" s="2">
        <f>IF(N542&gt;0,1,0)</f>
        <v>0</v>
      </c>
    </row>
    <row r="543" spans="1:20" x14ac:dyDescent="0.2">
      <c r="A543" s="6">
        <v>542</v>
      </c>
      <c r="B543" s="3">
        <v>41555</v>
      </c>
      <c r="C543" s="4">
        <v>9.5348308111230504E-2</v>
      </c>
      <c r="D543" s="4">
        <v>9.7223195433616599E-2</v>
      </c>
      <c r="E543" s="4">
        <v>192</v>
      </c>
      <c r="F543" s="4">
        <v>138</v>
      </c>
      <c r="G543" s="4">
        <v>28.315208333333299</v>
      </c>
      <c r="H543" s="4">
        <v>0.71875</v>
      </c>
      <c r="I543" s="4">
        <v>0.61458333333333304</v>
      </c>
      <c r="J543" s="4">
        <v>10</v>
      </c>
      <c r="K543" s="4">
        <v>2013</v>
      </c>
      <c r="M543" s="11" t="s">
        <v>3</v>
      </c>
      <c r="O543" s="4">
        <v>0.71875</v>
      </c>
      <c r="P543" s="4">
        <v>0.71875</v>
      </c>
      <c r="Q543" s="4">
        <f>(P543-P542)/P542</f>
        <v>9.6153846153846203</v>
      </c>
      <c r="R543" s="4">
        <v>36</v>
      </c>
      <c r="S543" s="3">
        <v>41555</v>
      </c>
      <c r="T543" s="2">
        <f>IF(N543&gt;0,1,0)</f>
        <v>0</v>
      </c>
    </row>
    <row r="544" spans="1:20" x14ac:dyDescent="0.2">
      <c r="A544" s="6">
        <v>543</v>
      </c>
      <c r="B544" s="3">
        <v>41563</v>
      </c>
      <c r="C544" s="4">
        <v>0.14328982810386401</v>
      </c>
      <c r="D544" s="4">
        <v>0.13846257577339799</v>
      </c>
      <c r="E544" s="4">
        <v>192</v>
      </c>
      <c r="F544" s="4">
        <v>118</v>
      </c>
      <c r="G544" s="4">
        <v>28.3403125</v>
      </c>
      <c r="H544" s="4">
        <v>0.61458333333333304</v>
      </c>
      <c r="I544" s="4">
        <v>0.546875</v>
      </c>
      <c r="J544" s="4">
        <v>10</v>
      </c>
      <c r="K544" s="4">
        <v>2013</v>
      </c>
      <c r="M544" s="11"/>
      <c r="O544" s="4">
        <v>0.61458333333333304</v>
      </c>
      <c r="P544" s="4">
        <v>0.61458333333333304</v>
      </c>
      <c r="Q544" s="4">
        <f>(P544-P543)/P543</f>
        <v>-0.14492753623188448</v>
      </c>
      <c r="R544" s="4">
        <v>37</v>
      </c>
      <c r="S544" s="3">
        <v>41563</v>
      </c>
      <c r="T544" s="2">
        <f>IF(N544&gt;0,1,0)</f>
        <v>0</v>
      </c>
    </row>
    <row r="545" spans="1:20" x14ac:dyDescent="0.2">
      <c r="A545" s="6">
        <v>544</v>
      </c>
      <c r="B545" s="3">
        <v>41571</v>
      </c>
      <c r="C545" s="4">
        <v>0.12372365773751801</v>
      </c>
      <c r="D545" s="4">
        <v>0.134476289153099</v>
      </c>
      <c r="E545" s="4">
        <v>192</v>
      </c>
      <c r="F545" s="4">
        <v>105</v>
      </c>
      <c r="G545" s="4">
        <v>28.528932291666699</v>
      </c>
      <c r="H545" s="4">
        <v>0.546875</v>
      </c>
      <c r="I545" s="4">
        <v>0.38541666666666702</v>
      </c>
      <c r="J545" s="4">
        <v>10</v>
      </c>
      <c r="K545" s="4">
        <v>2013</v>
      </c>
      <c r="M545" s="11"/>
      <c r="O545" s="4">
        <v>0.546875</v>
      </c>
      <c r="P545" s="4">
        <v>0.546875</v>
      </c>
      <c r="Q545" s="4">
        <f>(P545-P544)/P544</f>
        <v>-0.1101694915254233</v>
      </c>
      <c r="R545" s="4">
        <v>38</v>
      </c>
      <c r="S545" s="3">
        <v>41571</v>
      </c>
      <c r="T545" s="2">
        <f>IF(N545&gt;0,1,0)</f>
        <v>0</v>
      </c>
    </row>
    <row r="546" spans="1:20" x14ac:dyDescent="0.2">
      <c r="A546" s="6">
        <v>545</v>
      </c>
      <c r="B546" s="3">
        <v>41579</v>
      </c>
      <c r="C546" s="4">
        <v>0.112046340970617</v>
      </c>
      <c r="D546" s="4">
        <v>0.124116130173206</v>
      </c>
      <c r="E546" s="4">
        <v>192</v>
      </c>
      <c r="F546" s="4">
        <v>74</v>
      </c>
      <c r="G546" s="4">
        <v>28.4965885416667</v>
      </c>
      <c r="H546" s="4">
        <v>0.38541666666666702</v>
      </c>
      <c r="I546" s="4">
        <v>2.0833333333333301E-2</v>
      </c>
      <c r="J546" s="4">
        <v>11</v>
      </c>
      <c r="K546" s="4">
        <v>2013</v>
      </c>
      <c r="M546" s="11" t="s">
        <v>2</v>
      </c>
      <c r="O546" s="4">
        <v>0.38541666666666702</v>
      </c>
      <c r="P546" s="4">
        <v>0.38541666666666702</v>
      </c>
      <c r="Q546" s="4">
        <f>(P546-P545)/P545</f>
        <v>-0.29523809523809458</v>
      </c>
      <c r="R546" s="4">
        <v>39</v>
      </c>
      <c r="S546" s="3">
        <v>41579</v>
      </c>
      <c r="T546" s="2">
        <f>IF(N546&gt;0,1,0)</f>
        <v>0</v>
      </c>
    </row>
    <row r="547" spans="1:20" x14ac:dyDescent="0.2">
      <c r="A547" s="6">
        <v>546</v>
      </c>
      <c r="B547" s="3">
        <v>41587</v>
      </c>
      <c r="C547" s="4">
        <v>0.11094932672990999</v>
      </c>
      <c r="D547" s="4">
        <v>0.106915526092052</v>
      </c>
      <c r="E547" s="4">
        <v>192</v>
      </c>
      <c r="F547" s="4">
        <v>4</v>
      </c>
      <c r="G547" s="4">
        <v>28.852916666666701</v>
      </c>
      <c r="H547" s="4">
        <v>2.0833333333333301E-2</v>
      </c>
      <c r="I547" s="4">
        <v>4.1666666666666699E-2</v>
      </c>
      <c r="J547" s="4">
        <v>11</v>
      </c>
      <c r="K547" s="4">
        <v>2013</v>
      </c>
      <c r="M547" s="11"/>
      <c r="O547" s="4">
        <v>2.0833333333333301E-2</v>
      </c>
      <c r="P547" s="4">
        <v>2.0833333333333301E-2</v>
      </c>
      <c r="Q547" s="4">
        <f>(P547-P546)/P546</f>
        <v>-0.94594594594594605</v>
      </c>
      <c r="R547" s="4">
        <v>40</v>
      </c>
      <c r="S547" s="3">
        <v>41587</v>
      </c>
      <c r="T547" s="2">
        <f>IF(N547&gt;0,1,0)</f>
        <v>0</v>
      </c>
    </row>
    <row r="548" spans="1:20" x14ac:dyDescent="0.2">
      <c r="A548" s="6">
        <v>547</v>
      </c>
      <c r="B548" s="3">
        <v>41595</v>
      </c>
      <c r="C548" s="4">
        <v>9.4324734010216293E-2</v>
      </c>
      <c r="D548" s="4">
        <v>8.6373516668875994E-2</v>
      </c>
      <c r="E548" s="4">
        <v>192</v>
      </c>
      <c r="F548" s="4">
        <v>8</v>
      </c>
      <c r="G548" s="4">
        <v>29.076041666666701</v>
      </c>
      <c r="H548" s="4">
        <v>4.1666666666666699E-2</v>
      </c>
      <c r="I548" s="4">
        <v>0.546875</v>
      </c>
      <c r="J548" s="4">
        <v>11</v>
      </c>
      <c r="K548" s="4">
        <v>2013</v>
      </c>
      <c r="M548" s="11"/>
      <c r="O548" s="4">
        <v>4.1666666666666699E-2</v>
      </c>
      <c r="P548" s="4">
        <v>4.1666666666666699E-2</v>
      </c>
      <c r="Q548" s="4">
        <f>(P548-P547)/P547</f>
        <v>1.0000000000000047</v>
      </c>
      <c r="R548" s="4">
        <v>41</v>
      </c>
      <c r="S548" s="3">
        <v>41595</v>
      </c>
      <c r="T548" s="2">
        <f>IF(N548&gt;0,1,0)</f>
        <v>0</v>
      </c>
    </row>
    <row r="549" spans="1:20" x14ac:dyDescent="0.2">
      <c r="A549" s="6">
        <v>548</v>
      </c>
      <c r="B549" s="7">
        <v>41603</v>
      </c>
      <c r="C549" s="4">
        <v>8.6580907440736501E-2</v>
      </c>
      <c r="D549" s="4">
        <v>7.6418302953243297E-2</v>
      </c>
      <c r="E549" s="4">
        <v>192</v>
      </c>
      <c r="F549" s="4">
        <v>105</v>
      </c>
      <c r="G549" s="4">
        <v>29.422578125000001</v>
      </c>
      <c r="H549" s="4">
        <v>0.546875</v>
      </c>
      <c r="I549" s="4">
        <v>0.75</v>
      </c>
      <c r="J549" s="4">
        <v>11</v>
      </c>
      <c r="K549" s="4">
        <v>2013</v>
      </c>
      <c r="M549" s="11"/>
      <c r="N549" s="4">
        <v>0.546875</v>
      </c>
      <c r="P549" s="4">
        <v>0.546875</v>
      </c>
      <c r="Q549" s="8">
        <f>(P549-P548)/P548</f>
        <v>12.124999999999989</v>
      </c>
      <c r="R549" s="4">
        <v>42</v>
      </c>
      <c r="S549" s="7">
        <v>41603</v>
      </c>
      <c r="T549" s="2">
        <f>IF(N549&gt;0,1,0)</f>
        <v>1</v>
      </c>
    </row>
    <row r="550" spans="1:20" x14ac:dyDescent="0.2">
      <c r="A550" s="6">
        <v>549</v>
      </c>
      <c r="B550" s="3">
        <v>41611</v>
      </c>
      <c r="C550" s="4">
        <v>8.7635217274123003E-2</v>
      </c>
      <c r="D550" s="4">
        <v>9.1745550433794704E-2</v>
      </c>
      <c r="E550" s="4">
        <v>192</v>
      </c>
      <c r="F550" s="4">
        <v>144</v>
      </c>
      <c r="G550" s="4">
        <v>29.279713541666698</v>
      </c>
      <c r="H550" s="4">
        <v>0.75</v>
      </c>
      <c r="I550" s="4">
        <v>0.828125</v>
      </c>
      <c r="J550" s="4">
        <v>12</v>
      </c>
      <c r="K550" s="4">
        <v>2013</v>
      </c>
      <c r="M550" s="11" t="s">
        <v>1</v>
      </c>
      <c r="N550" s="4">
        <v>0.75</v>
      </c>
      <c r="P550" s="4">
        <v>0.75</v>
      </c>
      <c r="Q550" s="4">
        <f>(P550-P549)/P549</f>
        <v>0.37142857142857144</v>
      </c>
      <c r="R550" s="4">
        <v>43</v>
      </c>
      <c r="S550" s="3">
        <v>41611</v>
      </c>
      <c r="T550" s="2">
        <f>IF(N550&gt;0,1,0)</f>
        <v>1</v>
      </c>
    </row>
    <row r="551" spans="1:20" x14ac:dyDescent="0.2">
      <c r="A551" s="6">
        <v>550</v>
      </c>
      <c r="B551" s="3">
        <v>41619</v>
      </c>
      <c r="C551" s="4">
        <v>0.12089373357593999</v>
      </c>
      <c r="D551" s="4" t="s">
        <v>0</v>
      </c>
      <c r="E551" s="4">
        <v>192</v>
      </c>
      <c r="F551" s="4">
        <v>159</v>
      </c>
      <c r="G551" s="4">
        <v>28.4882552083333</v>
      </c>
      <c r="H551" s="4">
        <v>0.828125</v>
      </c>
      <c r="I551" s="4">
        <v>0.96875</v>
      </c>
      <c r="J551" s="4">
        <v>12</v>
      </c>
      <c r="K551" s="4">
        <v>2013</v>
      </c>
      <c r="M551" s="5"/>
      <c r="N551" s="4">
        <v>0.828125</v>
      </c>
      <c r="P551" s="4">
        <v>0.828125</v>
      </c>
      <c r="Q551" s="4">
        <f>(P551-P550)/P550</f>
        <v>0.10416666666666667</v>
      </c>
      <c r="R551" s="4">
        <v>44</v>
      </c>
      <c r="S551" s="3">
        <v>41619</v>
      </c>
      <c r="T551" s="2">
        <f>IF(N551&gt;0,1,0)</f>
        <v>1</v>
      </c>
    </row>
    <row r="552" spans="1:20" x14ac:dyDescent="0.2">
      <c r="A552" s="6">
        <v>551</v>
      </c>
      <c r="B552" s="3">
        <v>41627</v>
      </c>
      <c r="C552" s="4">
        <v>0.21511407792568199</v>
      </c>
      <c r="D552" s="4" t="s">
        <v>0</v>
      </c>
      <c r="E552" s="4">
        <v>192</v>
      </c>
      <c r="F552" s="4">
        <v>186</v>
      </c>
      <c r="G552" s="4">
        <v>28.4062760416667</v>
      </c>
      <c r="H552" s="4">
        <v>0.96875</v>
      </c>
      <c r="I552" s="4">
        <v>0.95833333333333304</v>
      </c>
      <c r="J552" s="4">
        <v>12</v>
      </c>
      <c r="K552" s="4">
        <v>2013</v>
      </c>
      <c r="M552" s="5"/>
      <c r="N552" s="4">
        <v>0.96875</v>
      </c>
      <c r="P552" s="4">
        <v>0.96875</v>
      </c>
      <c r="Q552" s="4">
        <f>(P552-P551)/P551</f>
        <v>0.16981132075471697</v>
      </c>
      <c r="R552" s="4">
        <v>45</v>
      </c>
      <c r="S552" s="3">
        <v>41627</v>
      </c>
      <c r="T552" s="2">
        <f>IF(N552&gt;0,1,0)</f>
        <v>1</v>
      </c>
    </row>
    <row r="553" spans="1:20" x14ac:dyDescent="0.2">
      <c r="A553" s="6">
        <v>552</v>
      </c>
      <c r="B553" s="3">
        <v>41635</v>
      </c>
      <c r="C553" s="4">
        <v>0.17563212988553201</v>
      </c>
      <c r="D553" s="4">
        <v>0.185309735437234</v>
      </c>
      <c r="E553" s="4">
        <v>120</v>
      </c>
      <c r="F553" s="4">
        <v>115</v>
      </c>
      <c r="G553" s="4">
        <v>28.9599166666667</v>
      </c>
      <c r="H553" s="4">
        <v>0.95833333333333304</v>
      </c>
      <c r="I553" s="4">
        <v>0.63541666666666696</v>
      </c>
      <c r="J553" s="4">
        <v>12</v>
      </c>
      <c r="K553" s="4">
        <v>2013</v>
      </c>
      <c r="M553" s="5"/>
      <c r="N553" s="4">
        <v>0.95833333333333304</v>
      </c>
      <c r="P553" s="4">
        <v>0.95833333333333304</v>
      </c>
      <c r="Q553" s="4">
        <f>(P553-P552)/P552</f>
        <v>-1.0752688172043317E-2</v>
      </c>
      <c r="R553" s="4">
        <v>46</v>
      </c>
      <c r="S553" s="10">
        <v>41635</v>
      </c>
      <c r="T553" s="2">
        <f>IF(N553&gt;0,1,0)</f>
        <v>1</v>
      </c>
    </row>
    <row r="554" spans="1:20" x14ac:dyDescent="0.2">
      <c r="A554" s="6">
        <v>553</v>
      </c>
      <c r="B554" s="3">
        <v>41640</v>
      </c>
      <c r="C554" s="4">
        <v>0.140454221311517</v>
      </c>
      <c r="D554" s="4">
        <v>0.12429457406203</v>
      </c>
      <c r="E554" s="4">
        <v>192</v>
      </c>
      <c r="F554" s="4">
        <v>122</v>
      </c>
      <c r="G554" s="4">
        <v>29.013151041666699</v>
      </c>
      <c r="H554" s="4">
        <v>0.63541666666666696</v>
      </c>
      <c r="I554" s="4">
        <v>0.84895833333333304</v>
      </c>
      <c r="J554" s="4">
        <v>1</v>
      </c>
      <c r="K554" s="4">
        <v>2014</v>
      </c>
      <c r="L554">
        <v>2014</v>
      </c>
      <c r="M554" s="5" t="s">
        <v>12</v>
      </c>
      <c r="O554" s="4">
        <v>0.63541666666666696</v>
      </c>
      <c r="P554" s="4">
        <v>0.63541666666666696</v>
      </c>
      <c r="Q554" s="9">
        <f>(P554-P553)/P553</f>
        <v>-0.33695652173912993</v>
      </c>
      <c r="R554" s="4">
        <v>1</v>
      </c>
      <c r="S554" s="3">
        <v>41640</v>
      </c>
      <c r="T554" s="2">
        <f>IF(O554&gt;0,1,0)</f>
        <v>1</v>
      </c>
    </row>
    <row r="555" spans="1:20" x14ac:dyDescent="0.2">
      <c r="A555" s="6">
        <v>554</v>
      </c>
      <c r="B555" s="3">
        <v>41648</v>
      </c>
      <c r="C555" s="4">
        <v>0.14510281706849701</v>
      </c>
      <c r="D555" s="4" t="s">
        <v>0</v>
      </c>
      <c r="E555" s="4">
        <v>192</v>
      </c>
      <c r="F555" s="4">
        <v>163</v>
      </c>
      <c r="G555" s="4">
        <v>28.8989322916667</v>
      </c>
      <c r="H555" s="4">
        <v>0.84895833333333304</v>
      </c>
      <c r="I555" s="4">
        <v>0.546875</v>
      </c>
      <c r="J555" s="4">
        <v>1</v>
      </c>
      <c r="K555" s="4">
        <v>2014</v>
      </c>
      <c r="M555" s="5"/>
      <c r="O555" s="4">
        <v>0.84895833333333304</v>
      </c>
      <c r="P555" s="4">
        <v>0.84895833333333304</v>
      </c>
      <c r="Q555" s="4">
        <f>(P555-P554)/P554</f>
        <v>0.33606557377049073</v>
      </c>
      <c r="R555" s="4">
        <v>2</v>
      </c>
      <c r="S555" s="3">
        <v>41648</v>
      </c>
      <c r="T555" s="2">
        <f>IF(O555&gt;0,1,0)</f>
        <v>1</v>
      </c>
    </row>
    <row r="556" spans="1:20" x14ac:dyDescent="0.2">
      <c r="A556" s="6">
        <v>555</v>
      </c>
      <c r="B556" s="3">
        <v>41656</v>
      </c>
      <c r="C556" s="4">
        <v>9.2781552164764206E-2</v>
      </c>
      <c r="D556" s="4">
        <v>7.6594434678554493E-2</v>
      </c>
      <c r="E556" s="4">
        <v>192</v>
      </c>
      <c r="F556" s="4">
        <v>105</v>
      </c>
      <c r="G556" s="4">
        <v>29.401432291666602</v>
      </c>
      <c r="H556" s="4">
        <v>0.546875</v>
      </c>
      <c r="I556" s="4">
        <v>0.328125</v>
      </c>
      <c r="J556" s="4">
        <v>1</v>
      </c>
      <c r="K556" s="4">
        <v>2014</v>
      </c>
      <c r="M556" s="5"/>
      <c r="O556" s="4">
        <v>0.546875</v>
      </c>
      <c r="P556" s="4">
        <v>0.546875</v>
      </c>
      <c r="Q556" s="4">
        <f>(P556-P555)/P555</f>
        <v>-0.35582822085889548</v>
      </c>
      <c r="R556" s="4">
        <v>3</v>
      </c>
      <c r="S556" s="3">
        <v>41656</v>
      </c>
      <c r="T556" s="2">
        <f>IF(O556&gt;0,1,0)</f>
        <v>1</v>
      </c>
    </row>
    <row r="557" spans="1:20" x14ac:dyDescent="0.2">
      <c r="A557" s="6">
        <v>556</v>
      </c>
      <c r="B557" s="7">
        <v>41664</v>
      </c>
      <c r="C557" s="4">
        <v>8.0570369672316802E-2</v>
      </c>
      <c r="D557" s="4">
        <v>7.6111819595098495E-2</v>
      </c>
      <c r="E557" s="4">
        <v>192</v>
      </c>
      <c r="F557" s="4">
        <v>63</v>
      </c>
      <c r="G557" s="4">
        <v>29.126067708333299</v>
      </c>
      <c r="H557" s="4">
        <v>0.328125</v>
      </c>
      <c r="I557" s="4">
        <v>1.5657620041753698E-2</v>
      </c>
      <c r="J557" s="4">
        <v>1</v>
      </c>
      <c r="K557" s="4">
        <v>2014</v>
      </c>
      <c r="M557" s="5"/>
      <c r="O557" s="4">
        <v>0.328125</v>
      </c>
      <c r="P557" s="4">
        <v>0.328125</v>
      </c>
      <c r="Q557" s="4">
        <f>(P557-P556)/P556</f>
        <v>-0.4</v>
      </c>
      <c r="R557" s="4">
        <v>4</v>
      </c>
      <c r="S557" s="3">
        <v>41664</v>
      </c>
      <c r="T557" s="2">
        <f>IF(O557&gt;0,1,0)</f>
        <v>1</v>
      </c>
    </row>
    <row r="558" spans="1:20" x14ac:dyDescent="0.2">
      <c r="A558" s="6">
        <v>557</v>
      </c>
      <c r="B558" s="3">
        <v>41672</v>
      </c>
      <c r="C558" s="4">
        <v>0.110495366629154</v>
      </c>
      <c r="D558" s="4">
        <v>9.5530765751997607E-2</v>
      </c>
      <c r="E558" s="4">
        <v>191.6</v>
      </c>
      <c r="F558" s="4">
        <v>3</v>
      </c>
      <c r="G558" s="4">
        <v>28.8827864583333</v>
      </c>
      <c r="H558" s="4">
        <v>1.5657620041753698E-2</v>
      </c>
      <c r="I558" s="4">
        <v>0.375</v>
      </c>
      <c r="J558" s="4">
        <v>2</v>
      </c>
      <c r="K558" s="4">
        <v>2014</v>
      </c>
      <c r="M558" s="5" t="s">
        <v>11</v>
      </c>
      <c r="O558" s="4">
        <v>1.5657620041753698E-2</v>
      </c>
      <c r="P558" s="4">
        <v>1.5657620041753698E-2</v>
      </c>
      <c r="Q558" s="4">
        <f>(P558-P557)/P557</f>
        <v>-0.95228153892036971</v>
      </c>
      <c r="R558" s="4">
        <v>5</v>
      </c>
      <c r="S558" s="3">
        <v>41672</v>
      </c>
      <c r="T558" s="2">
        <f>IF(N558&gt;0,1,0)</f>
        <v>0</v>
      </c>
    </row>
    <row r="559" spans="1:20" x14ac:dyDescent="0.2">
      <c r="A559" s="6">
        <v>558</v>
      </c>
      <c r="B559" s="7">
        <v>41680</v>
      </c>
      <c r="C559" s="4">
        <v>0.16495707737547999</v>
      </c>
      <c r="D559" s="4" t="s">
        <v>0</v>
      </c>
      <c r="E559" s="4">
        <v>192</v>
      </c>
      <c r="F559" s="4">
        <v>72</v>
      </c>
      <c r="G559" s="4">
        <v>28.83234375</v>
      </c>
      <c r="H559" s="4">
        <v>0.375</v>
      </c>
      <c r="I559" s="4">
        <v>0.91145833333333304</v>
      </c>
      <c r="J559" s="4">
        <v>2</v>
      </c>
      <c r="K559" s="4">
        <v>2014</v>
      </c>
      <c r="M559" s="5"/>
      <c r="N559" s="4">
        <v>0.375</v>
      </c>
      <c r="P559" s="4">
        <v>0.375</v>
      </c>
      <c r="Q559" s="8">
        <f>(P559-P558)/P558</f>
        <v>22.949999999999932</v>
      </c>
      <c r="R559" s="4">
        <v>6</v>
      </c>
      <c r="S559" s="7">
        <v>41680</v>
      </c>
      <c r="T559" s="2">
        <f>IF(N559&gt;0,1,0)</f>
        <v>1</v>
      </c>
    </row>
    <row r="560" spans="1:20" x14ac:dyDescent="0.2">
      <c r="A560" s="6">
        <v>559</v>
      </c>
      <c r="B560" s="3">
        <v>41688</v>
      </c>
      <c r="C560" s="4">
        <v>0.112588931899518</v>
      </c>
      <c r="D560" s="4">
        <v>0.117280155420303</v>
      </c>
      <c r="E560" s="4">
        <v>192</v>
      </c>
      <c r="F560" s="4">
        <v>175</v>
      </c>
      <c r="G560" s="4">
        <v>29.202057291666701</v>
      </c>
      <c r="H560" s="4">
        <v>0.91145833333333304</v>
      </c>
      <c r="I560" s="4" t="s">
        <v>0</v>
      </c>
      <c r="J560" s="4">
        <v>2</v>
      </c>
      <c r="K560" s="4">
        <v>2014</v>
      </c>
      <c r="M560" s="5"/>
      <c r="N560" s="4">
        <v>0.91145833333333304</v>
      </c>
      <c r="P560" s="4">
        <v>0.91145833333333304</v>
      </c>
      <c r="Q560" s="4">
        <f>(P560-P559)/P559</f>
        <v>1.4305555555555547</v>
      </c>
      <c r="R560" s="4">
        <v>7</v>
      </c>
      <c r="S560" s="3">
        <v>41688</v>
      </c>
      <c r="T560" s="2">
        <f>IF(N560&gt;0,1,0)</f>
        <v>1</v>
      </c>
    </row>
    <row r="561" spans="1:20" x14ac:dyDescent="0.2">
      <c r="A561" s="6">
        <v>560</v>
      </c>
      <c r="B561" s="3">
        <v>41696</v>
      </c>
      <c r="C561" s="4">
        <v>0.111378551488466</v>
      </c>
      <c r="D561" s="4">
        <v>9.5125736047824205E-2</v>
      </c>
      <c r="E561" s="4">
        <v>89.3</v>
      </c>
      <c r="F561" s="4">
        <v>61</v>
      </c>
      <c r="G561" s="4">
        <v>29.398203124999998</v>
      </c>
      <c r="H561" s="4" t="s">
        <v>0</v>
      </c>
      <c r="I561" s="4" t="s">
        <v>0</v>
      </c>
      <c r="J561" s="4">
        <v>2</v>
      </c>
      <c r="K561" s="4">
        <v>2014</v>
      </c>
      <c r="M561" s="5"/>
      <c r="O561" s="4">
        <v>0</v>
      </c>
      <c r="P561" s="4">
        <v>0</v>
      </c>
      <c r="Q561" s="4">
        <f>(P561-P560)/P560</f>
        <v>-1</v>
      </c>
      <c r="R561" s="4">
        <v>8</v>
      </c>
      <c r="S561" s="3">
        <v>41696</v>
      </c>
      <c r="T561" s="2">
        <f>IF(N561&gt;0,1,0)</f>
        <v>0</v>
      </c>
    </row>
    <row r="562" spans="1:20" x14ac:dyDescent="0.2">
      <c r="A562" s="6">
        <v>561</v>
      </c>
      <c r="B562" s="3">
        <v>41704</v>
      </c>
      <c r="C562" s="4">
        <v>0.105307735665871</v>
      </c>
      <c r="D562" s="4">
        <v>9.7538494815429005E-2</v>
      </c>
      <c r="E562" s="4">
        <v>0</v>
      </c>
      <c r="F562" s="4">
        <v>0</v>
      </c>
      <c r="G562" s="4">
        <v>29.680208333333301</v>
      </c>
      <c r="H562" s="4" t="s">
        <v>0</v>
      </c>
      <c r="I562" s="4" t="s">
        <v>0</v>
      </c>
      <c r="J562" s="4">
        <v>3</v>
      </c>
      <c r="K562" s="4">
        <v>2014</v>
      </c>
      <c r="M562" s="5" t="s">
        <v>10</v>
      </c>
      <c r="O562" s="4">
        <v>0</v>
      </c>
      <c r="P562" s="4">
        <v>0</v>
      </c>
      <c r="Q562" s="4" t="e">
        <f>(P562-P561)/P561</f>
        <v>#DIV/0!</v>
      </c>
      <c r="R562" s="4">
        <v>9</v>
      </c>
      <c r="S562" s="3">
        <v>41704</v>
      </c>
      <c r="T562" s="2">
        <f>IF(N562&gt;0,1,0)</f>
        <v>0</v>
      </c>
    </row>
    <row r="563" spans="1:20" x14ac:dyDescent="0.2">
      <c r="A563" s="6">
        <v>562</v>
      </c>
      <c r="B563" s="3">
        <v>41712</v>
      </c>
      <c r="C563" s="4">
        <v>0.12021441546579199</v>
      </c>
      <c r="D563" s="4">
        <v>9.9704673886299097E-2</v>
      </c>
      <c r="E563" s="4">
        <v>0</v>
      </c>
      <c r="F563" s="4">
        <v>0</v>
      </c>
      <c r="G563" s="4">
        <v>29.6054427083333</v>
      </c>
      <c r="H563" s="4" t="s">
        <v>0</v>
      </c>
      <c r="I563" s="4" t="s">
        <v>0</v>
      </c>
      <c r="J563" s="4">
        <v>3</v>
      </c>
      <c r="K563" s="4">
        <v>2014</v>
      </c>
      <c r="M563" s="5"/>
      <c r="O563" s="4">
        <v>0</v>
      </c>
      <c r="P563" s="4">
        <v>0</v>
      </c>
      <c r="Q563" s="4" t="e">
        <f>(P563-P562)/P562</f>
        <v>#DIV/0!</v>
      </c>
      <c r="R563" s="4">
        <v>10</v>
      </c>
      <c r="S563" s="3">
        <v>41712</v>
      </c>
      <c r="T563" s="2">
        <f>IF(N563&gt;0,1,0)</f>
        <v>0</v>
      </c>
    </row>
    <row r="564" spans="1:20" x14ac:dyDescent="0.2">
      <c r="A564" s="6">
        <v>563</v>
      </c>
      <c r="B564" s="3">
        <v>41720</v>
      </c>
      <c r="C564" s="4">
        <v>9.8132125923738794E-2</v>
      </c>
      <c r="D564" s="4" t="s">
        <v>0</v>
      </c>
      <c r="E564" s="4">
        <v>0</v>
      </c>
      <c r="F564" s="4">
        <v>0</v>
      </c>
      <c r="G564" s="4">
        <v>29.321901041666699</v>
      </c>
      <c r="H564" s="4" t="s">
        <v>0</v>
      </c>
      <c r="I564" s="4" t="s">
        <v>0</v>
      </c>
      <c r="J564" s="4">
        <v>3</v>
      </c>
      <c r="K564" s="4">
        <v>2014</v>
      </c>
      <c r="M564" s="5"/>
      <c r="O564" s="4">
        <v>0</v>
      </c>
      <c r="P564" s="4">
        <v>0</v>
      </c>
      <c r="Q564" s="4" t="e">
        <f>(P564-P563)/P563</f>
        <v>#DIV/0!</v>
      </c>
      <c r="R564" s="4">
        <v>11</v>
      </c>
      <c r="S564" s="3">
        <v>41720</v>
      </c>
      <c r="T564" s="2">
        <f>IF(N564&gt;0,1,0)</f>
        <v>0</v>
      </c>
    </row>
    <row r="565" spans="1:20" x14ac:dyDescent="0.2">
      <c r="A565" s="6">
        <v>564</v>
      </c>
      <c r="B565" s="3">
        <v>41728</v>
      </c>
      <c r="C565" s="4">
        <v>0.13988133329291699</v>
      </c>
      <c r="D565" s="4" t="s">
        <v>0</v>
      </c>
      <c r="E565" s="4">
        <v>0</v>
      </c>
      <c r="F565" s="4">
        <v>0</v>
      </c>
      <c r="G565" s="4">
        <v>29.102812499999999</v>
      </c>
      <c r="H565" s="4" t="s">
        <v>0</v>
      </c>
      <c r="I565" s="4" t="s">
        <v>0</v>
      </c>
      <c r="J565" s="4">
        <v>3</v>
      </c>
      <c r="K565" s="4">
        <v>2014</v>
      </c>
      <c r="M565" s="5"/>
      <c r="O565" s="4">
        <v>0</v>
      </c>
      <c r="P565" s="4">
        <v>0</v>
      </c>
      <c r="Q565" s="4" t="e">
        <f>(P565-P564)/P564</f>
        <v>#DIV/0!</v>
      </c>
      <c r="R565" s="4">
        <v>12</v>
      </c>
      <c r="S565" s="3">
        <v>41728</v>
      </c>
      <c r="T565" s="2">
        <f>IF(N565&gt;0,1,0)</f>
        <v>0</v>
      </c>
    </row>
    <row r="566" spans="1:20" x14ac:dyDescent="0.2">
      <c r="A566" s="6">
        <v>565</v>
      </c>
      <c r="B566" s="3">
        <v>41736</v>
      </c>
      <c r="C566" s="4">
        <v>0.12238039897154999</v>
      </c>
      <c r="D566" s="4">
        <v>0.109004425505797</v>
      </c>
      <c r="E566" s="4">
        <v>0</v>
      </c>
      <c r="F566" s="4">
        <v>0</v>
      </c>
      <c r="G566" s="4">
        <v>29.513541666666701</v>
      </c>
      <c r="H566" s="4" t="s">
        <v>0</v>
      </c>
      <c r="I566" s="4" t="s">
        <v>0</v>
      </c>
      <c r="J566" s="4">
        <v>4</v>
      </c>
      <c r="K566" s="4">
        <v>2014</v>
      </c>
      <c r="M566" s="5" t="s">
        <v>9</v>
      </c>
      <c r="O566" s="4">
        <v>0</v>
      </c>
      <c r="P566" s="4">
        <v>0</v>
      </c>
      <c r="Q566" s="4" t="e">
        <f>(P566-P565)/P565</f>
        <v>#DIV/0!</v>
      </c>
      <c r="R566" s="4">
        <v>13</v>
      </c>
      <c r="S566" s="3">
        <v>41736</v>
      </c>
      <c r="T566" s="2">
        <f>IF(N566&gt;0,1,0)</f>
        <v>0</v>
      </c>
    </row>
    <row r="567" spans="1:20" x14ac:dyDescent="0.2">
      <c r="A567" s="6">
        <v>566</v>
      </c>
      <c r="B567" s="3">
        <v>41744</v>
      </c>
      <c r="C567" s="4">
        <v>0.10825452099751399</v>
      </c>
      <c r="D567" s="4">
        <v>9.0104262034098298E-2</v>
      </c>
      <c r="E567" s="4">
        <v>0</v>
      </c>
      <c r="F567" s="4">
        <v>0</v>
      </c>
      <c r="G567" s="4">
        <v>29.759895833333299</v>
      </c>
      <c r="H567" s="4" t="s">
        <v>0</v>
      </c>
      <c r="I567" s="4" t="s">
        <v>0</v>
      </c>
      <c r="J567" s="4">
        <v>4</v>
      </c>
      <c r="K567" s="4">
        <v>2014</v>
      </c>
      <c r="M567" s="5"/>
      <c r="O567" s="4">
        <v>0</v>
      </c>
      <c r="P567" s="4">
        <v>0</v>
      </c>
      <c r="Q567" s="4" t="e">
        <f>(P567-P566)/P566</f>
        <v>#DIV/0!</v>
      </c>
      <c r="R567" s="4">
        <v>14</v>
      </c>
      <c r="S567" s="3">
        <v>41744</v>
      </c>
      <c r="T567" s="2">
        <f>IF(N567&gt;0,1,0)</f>
        <v>0</v>
      </c>
    </row>
    <row r="568" spans="1:20" x14ac:dyDescent="0.2">
      <c r="A568" s="6">
        <v>567</v>
      </c>
      <c r="B568" s="3">
        <v>41752</v>
      </c>
      <c r="C568" s="4">
        <v>0.107617422103368</v>
      </c>
      <c r="D568" s="4">
        <v>9.7410713136196106E-2</v>
      </c>
      <c r="E568" s="4">
        <v>0</v>
      </c>
      <c r="F568" s="4">
        <v>0</v>
      </c>
      <c r="G568" s="4">
        <v>29.381250000000001</v>
      </c>
      <c r="H568" s="4" t="s">
        <v>0</v>
      </c>
      <c r="I568" s="4" t="s">
        <v>0</v>
      </c>
      <c r="J568" s="4">
        <v>4</v>
      </c>
      <c r="K568" s="4">
        <v>2014</v>
      </c>
      <c r="M568" s="5"/>
      <c r="O568" s="4">
        <v>0</v>
      </c>
      <c r="P568" s="4">
        <v>0</v>
      </c>
      <c r="Q568" s="4" t="e">
        <f>(P568-P567)/P567</f>
        <v>#DIV/0!</v>
      </c>
      <c r="R568" s="4">
        <v>15</v>
      </c>
      <c r="S568" s="3">
        <v>41752</v>
      </c>
      <c r="T568" s="2">
        <f>IF(N568&gt;0,1,0)</f>
        <v>0</v>
      </c>
    </row>
    <row r="569" spans="1:20" x14ac:dyDescent="0.2">
      <c r="A569" s="6">
        <v>568</v>
      </c>
      <c r="B569" s="3">
        <v>41760</v>
      </c>
      <c r="C569" s="4">
        <v>0.14455785240150201</v>
      </c>
      <c r="D569" s="4">
        <v>0.13626032570997901</v>
      </c>
      <c r="E569" s="4">
        <v>0</v>
      </c>
      <c r="F569" s="4">
        <v>0</v>
      </c>
      <c r="G569" s="4">
        <v>29.181796875</v>
      </c>
      <c r="H569" s="4" t="s">
        <v>0</v>
      </c>
      <c r="I569" s="4" t="s">
        <v>0</v>
      </c>
      <c r="J569" s="4">
        <v>5</v>
      </c>
      <c r="K569" s="4">
        <v>2014</v>
      </c>
      <c r="M569" s="5" t="s">
        <v>8</v>
      </c>
      <c r="O569" s="4">
        <v>0</v>
      </c>
      <c r="P569" s="4">
        <v>0</v>
      </c>
      <c r="Q569" s="4" t="e">
        <f>(P569-P568)/P568</f>
        <v>#DIV/0!</v>
      </c>
      <c r="R569" s="4">
        <v>16</v>
      </c>
      <c r="S569" s="3">
        <v>41760</v>
      </c>
      <c r="T569" s="2">
        <f>IF(N569&gt;0,1,0)</f>
        <v>0</v>
      </c>
    </row>
    <row r="570" spans="1:20" x14ac:dyDescent="0.2">
      <c r="A570" s="6">
        <v>569</v>
      </c>
      <c r="B570" s="3">
        <v>41768</v>
      </c>
      <c r="C570" s="4">
        <v>0.135046688477612</v>
      </c>
      <c r="D570" s="4">
        <v>0.121450549612443</v>
      </c>
      <c r="E570" s="4">
        <v>0</v>
      </c>
      <c r="F570" s="4">
        <v>0</v>
      </c>
      <c r="G570" s="4">
        <v>29.2870833333333</v>
      </c>
      <c r="H570" s="4" t="s">
        <v>0</v>
      </c>
      <c r="I570" s="4" t="s">
        <v>0</v>
      </c>
      <c r="J570" s="4">
        <v>5</v>
      </c>
      <c r="K570" s="4">
        <v>2014</v>
      </c>
      <c r="M570" s="5"/>
      <c r="O570" s="4">
        <v>0</v>
      </c>
      <c r="P570" s="4">
        <v>0</v>
      </c>
      <c r="Q570" s="4" t="e">
        <f>(P570-P569)/P569</f>
        <v>#DIV/0!</v>
      </c>
      <c r="R570" s="4">
        <v>17</v>
      </c>
      <c r="S570" s="3">
        <v>41768</v>
      </c>
      <c r="T570" s="2">
        <f>IF(N570&gt;0,1,0)</f>
        <v>0</v>
      </c>
    </row>
    <row r="571" spans="1:20" x14ac:dyDescent="0.2">
      <c r="A571" s="6">
        <v>570</v>
      </c>
      <c r="B571" s="3">
        <v>41776</v>
      </c>
      <c r="C571" s="4">
        <v>0.13957084498057801</v>
      </c>
      <c r="D571" s="4">
        <v>0.121193153162797</v>
      </c>
      <c r="E571" s="4">
        <v>0</v>
      </c>
      <c r="F571" s="4">
        <v>0</v>
      </c>
      <c r="G571" s="4">
        <v>29.037473958333301</v>
      </c>
      <c r="H571" s="4" t="s">
        <v>0</v>
      </c>
      <c r="I571" s="4" t="s">
        <v>0</v>
      </c>
      <c r="J571" s="4">
        <v>5</v>
      </c>
      <c r="K571" s="4">
        <v>2014</v>
      </c>
      <c r="M571" s="5"/>
      <c r="O571" s="4">
        <v>0</v>
      </c>
      <c r="P571" s="4">
        <v>0</v>
      </c>
      <c r="Q571" s="4" t="e">
        <f>(P571-P570)/P570</f>
        <v>#DIV/0!</v>
      </c>
      <c r="R571" s="4">
        <v>18</v>
      </c>
      <c r="S571" s="3">
        <v>41776</v>
      </c>
      <c r="T571" s="2">
        <f>IF(N571&gt;0,1,0)</f>
        <v>0</v>
      </c>
    </row>
    <row r="572" spans="1:20" x14ac:dyDescent="0.2">
      <c r="A572" s="6">
        <v>571</v>
      </c>
      <c r="B572" s="3">
        <v>41784</v>
      </c>
      <c r="C572" s="4">
        <v>0.15443717357185199</v>
      </c>
      <c r="D572" s="4" t="s">
        <v>0</v>
      </c>
      <c r="E572" s="4">
        <v>0</v>
      </c>
      <c r="F572" s="4">
        <v>0</v>
      </c>
      <c r="G572" s="4">
        <v>28.374244791666701</v>
      </c>
      <c r="H572" s="4" t="s">
        <v>0</v>
      </c>
      <c r="I572" s="4" t="s">
        <v>0</v>
      </c>
      <c r="J572" s="4">
        <v>5</v>
      </c>
      <c r="K572" s="4">
        <v>2014</v>
      </c>
      <c r="M572" s="5"/>
      <c r="O572" s="4">
        <v>0</v>
      </c>
      <c r="P572" s="4">
        <v>0</v>
      </c>
      <c r="Q572" s="4" t="e">
        <f>(P572-P571)/P571</f>
        <v>#DIV/0!</v>
      </c>
      <c r="R572" s="4">
        <v>19</v>
      </c>
      <c r="S572" s="3">
        <v>41784</v>
      </c>
      <c r="T572" s="2">
        <f>IF(N572&gt;0,1,0)</f>
        <v>0</v>
      </c>
    </row>
    <row r="573" spans="1:20" x14ac:dyDescent="0.2">
      <c r="A573" s="6">
        <v>572</v>
      </c>
      <c r="B573" s="3">
        <v>41792</v>
      </c>
      <c r="C573" s="4">
        <v>0.21967590937856599</v>
      </c>
      <c r="D573" s="4">
        <v>0.23516084253788</v>
      </c>
      <c r="E573" s="4">
        <v>0</v>
      </c>
      <c r="F573" s="4">
        <v>0</v>
      </c>
      <c r="G573" s="4">
        <v>27.949765625000001</v>
      </c>
      <c r="H573" s="4" t="s">
        <v>0</v>
      </c>
      <c r="I573" s="4" t="s">
        <v>0</v>
      </c>
      <c r="J573" s="4">
        <v>6</v>
      </c>
      <c r="K573" s="4">
        <v>2014</v>
      </c>
      <c r="M573" s="5" t="s">
        <v>7</v>
      </c>
      <c r="O573" s="4">
        <v>0</v>
      </c>
      <c r="P573" s="4">
        <v>0</v>
      </c>
      <c r="Q573" s="4" t="e">
        <f>(P573-P572)/P572</f>
        <v>#DIV/0!</v>
      </c>
      <c r="R573" s="4">
        <v>20</v>
      </c>
      <c r="S573" s="3">
        <v>41792</v>
      </c>
      <c r="T573" s="2">
        <f>IF(N573&gt;0,1,0)</f>
        <v>0</v>
      </c>
    </row>
    <row r="574" spans="1:20" x14ac:dyDescent="0.2">
      <c r="A574" s="6">
        <v>573</v>
      </c>
      <c r="B574" s="3">
        <v>41800</v>
      </c>
      <c r="C574" s="4">
        <v>0.20023191476410099</v>
      </c>
      <c r="D574" s="4">
        <v>0.15614357590675401</v>
      </c>
      <c r="E574" s="4">
        <v>0</v>
      </c>
      <c r="F574" s="4">
        <v>0</v>
      </c>
      <c r="G574" s="4">
        <v>27.732942708333301</v>
      </c>
      <c r="H574" s="4" t="s">
        <v>0</v>
      </c>
      <c r="I574" s="4" t="s">
        <v>0</v>
      </c>
      <c r="J574" s="4">
        <v>6</v>
      </c>
      <c r="K574" s="4">
        <v>2014</v>
      </c>
      <c r="M574" s="5"/>
      <c r="O574" s="4">
        <v>0</v>
      </c>
      <c r="P574" s="4">
        <v>0</v>
      </c>
      <c r="Q574" s="4" t="e">
        <f>(P574-P573)/P573</f>
        <v>#DIV/0!</v>
      </c>
      <c r="R574" s="4">
        <v>21</v>
      </c>
      <c r="S574" s="3">
        <v>41800</v>
      </c>
      <c r="T574" s="2">
        <f>IF(N574&gt;0,1,0)</f>
        <v>0</v>
      </c>
    </row>
    <row r="575" spans="1:20" x14ac:dyDescent="0.2">
      <c r="A575" s="6">
        <v>574</v>
      </c>
      <c r="B575" s="3">
        <v>41808</v>
      </c>
      <c r="C575" s="4">
        <v>0.236566688281064</v>
      </c>
      <c r="D575" s="4">
        <v>0.20149758706490201</v>
      </c>
      <c r="E575" s="4">
        <v>0</v>
      </c>
      <c r="F575" s="4">
        <v>0</v>
      </c>
      <c r="G575" s="4">
        <v>27.7036197916667</v>
      </c>
      <c r="H575" s="4" t="s">
        <v>0</v>
      </c>
      <c r="I575" s="4" t="s">
        <v>0</v>
      </c>
      <c r="J575" s="4">
        <v>6</v>
      </c>
      <c r="K575" s="4">
        <v>2014</v>
      </c>
      <c r="M575" s="5"/>
      <c r="O575" s="4">
        <v>0</v>
      </c>
      <c r="P575" s="4">
        <v>0</v>
      </c>
      <c r="Q575" s="4" t="e">
        <f>(P575-P574)/P574</f>
        <v>#DIV/0!</v>
      </c>
      <c r="R575" s="4">
        <v>22</v>
      </c>
      <c r="S575" s="3">
        <v>41808</v>
      </c>
      <c r="T575" s="2">
        <f>IF(N575&gt;0,1,0)</f>
        <v>0</v>
      </c>
    </row>
    <row r="576" spans="1:20" x14ac:dyDescent="0.2">
      <c r="A576" s="6">
        <v>575</v>
      </c>
      <c r="B576" s="3">
        <v>41816</v>
      </c>
      <c r="C576" s="4">
        <v>0.251648613753227</v>
      </c>
      <c r="D576" s="4">
        <v>0.23858693242073101</v>
      </c>
      <c r="E576" s="4">
        <v>0</v>
      </c>
      <c r="F576" s="4">
        <v>0</v>
      </c>
      <c r="G576" s="4">
        <v>27.573802083333302</v>
      </c>
      <c r="H576" s="4" t="s">
        <v>0</v>
      </c>
      <c r="I576" s="4" t="s">
        <v>0</v>
      </c>
      <c r="J576" s="4">
        <v>6</v>
      </c>
      <c r="K576" s="4">
        <v>2014</v>
      </c>
      <c r="M576" s="5"/>
      <c r="O576" s="4">
        <v>0</v>
      </c>
      <c r="P576" s="4">
        <v>0</v>
      </c>
      <c r="Q576" s="4" t="e">
        <f>(P576-P575)/P575</f>
        <v>#DIV/0!</v>
      </c>
      <c r="R576" s="4">
        <v>23</v>
      </c>
      <c r="S576" s="3">
        <v>41816</v>
      </c>
      <c r="T576" s="2">
        <f>IF(N576&gt;0,1,0)</f>
        <v>0</v>
      </c>
    </row>
    <row r="577" spans="1:20" x14ac:dyDescent="0.2">
      <c r="A577" s="6">
        <v>576</v>
      </c>
      <c r="B577" s="3">
        <v>41824</v>
      </c>
      <c r="C577" s="4">
        <v>0.13262745312282001</v>
      </c>
      <c r="D577" s="4" t="s">
        <v>0</v>
      </c>
      <c r="E577" s="4">
        <v>0</v>
      </c>
      <c r="F577" s="4">
        <v>0</v>
      </c>
      <c r="G577" s="4">
        <v>27.7153645833334</v>
      </c>
      <c r="H577" s="4" t="s">
        <v>0</v>
      </c>
      <c r="I577" s="4" t="s">
        <v>0</v>
      </c>
      <c r="J577" s="4">
        <v>7</v>
      </c>
      <c r="K577" s="4">
        <v>2014</v>
      </c>
      <c r="M577" s="5" t="s">
        <v>6</v>
      </c>
      <c r="O577" s="4">
        <v>0</v>
      </c>
      <c r="P577" s="4">
        <v>0</v>
      </c>
      <c r="Q577" s="4" t="e">
        <f>(P577-P576)/P576</f>
        <v>#DIV/0!</v>
      </c>
      <c r="R577" s="4">
        <v>24</v>
      </c>
      <c r="S577" s="3">
        <v>41824</v>
      </c>
      <c r="T577" s="2">
        <f>IF(N577&gt;0,1,0)</f>
        <v>0</v>
      </c>
    </row>
    <row r="578" spans="1:20" x14ac:dyDescent="0.2">
      <c r="A578" s="6">
        <v>577</v>
      </c>
      <c r="B578" s="3">
        <v>41832</v>
      </c>
      <c r="C578" s="4">
        <v>0.15177147353037501</v>
      </c>
      <c r="D578" s="4">
        <v>0.119779855012894</v>
      </c>
      <c r="E578" s="4">
        <v>0</v>
      </c>
      <c r="F578" s="4">
        <v>0</v>
      </c>
      <c r="G578" s="4">
        <v>27.295442708333301</v>
      </c>
      <c r="H578" s="4" t="s">
        <v>0</v>
      </c>
      <c r="I578" s="4" t="s">
        <v>0</v>
      </c>
      <c r="J578" s="4">
        <v>7</v>
      </c>
      <c r="K578" s="4">
        <v>2014</v>
      </c>
      <c r="M578" s="5"/>
      <c r="O578" s="4">
        <v>0</v>
      </c>
      <c r="P578" s="4">
        <v>0</v>
      </c>
      <c r="Q578" s="4" t="e">
        <f>(P578-P577)/P577</f>
        <v>#DIV/0!</v>
      </c>
      <c r="R578" s="4">
        <v>25</v>
      </c>
      <c r="S578" s="3">
        <v>41832</v>
      </c>
      <c r="T578" s="2">
        <f>IF(N578&gt;0,1,0)</f>
        <v>0</v>
      </c>
    </row>
    <row r="579" spans="1:20" x14ac:dyDescent="0.2">
      <c r="A579" s="6">
        <v>578</v>
      </c>
      <c r="B579" s="3">
        <v>41840</v>
      </c>
      <c r="C579" s="4">
        <v>0.21365789248702199</v>
      </c>
      <c r="D579" s="4">
        <v>0.14805934131145501</v>
      </c>
      <c r="E579" s="4">
        <v>0</v>
      </c>
      <c r="F579" s="4">
        <v>0</v>
      </c>
      <c r="G579" s="4">
        <v>26.791588541666702</v>
      </c>
      <c r="H579" s="4" t="s">
        <v>0</v>
      </c>
      <c r="I579" s="4" t="s">
        <v>0</v>
      </c>
      <c r="J579" s="4">
        <v>7</v>
      </c>
      <c r="K579" s="4">
        <v>2014</v>
      </c>
      <c r="M579" s="5"/>
      <c r="O579" s="4">
        <v>0</v>
      </c>
      <c r="P579" s="4">
        <v>0</v>
      </c>
      <c r="Q579" s="4" t="e">
        <f>(P579-P578)/P578</f>
        <v>#DIV/0!</v>
      </c>
      <c r="R579" s="4">
        <v>26</v>
      </c>
      <c r="S579" s="3">
        <v>41840</v>
      </c>
      <c r="T579" s="2">
        <f>IF(N579&gt;0,1,0)</f>
        <v>0</v>
      </c>
    </row>
    <row r="580" spans="1:20" x14ac:dyDescent="0.2">
      <c r="A580" s="6">
        <v>579</v>
      </c>
      <c r="B580" s="3">
        <v>41848</v>
      </c>
      <c r="C580" s="4">
        <v>0.21882071636490899</v>
      </c>
      <c r="D580" s="4">
        <v>0.18959008157253299</v>
      </c>
      <c r="E580" s="4">
        <v>0</v>
      </c>
      <c r="F580" s="4">
        <v>0</v>
      </c>
      <c r="G580" s="4">
        <v>26.475885416666699</v>
      </c>
      <c r="H580" s="4" t="s">
        <v>0</v>
      </c>
      <c r="I580" s="4" t="s">
        <v>0</v>
      </c>
      <c r="J580" s="4">
        <v>7</v>
      </c>
      <c r="K580" s="4">
        <v>2014</v>
      </c>
      <c r="M580" s="5"/>
      <c r="O580" s="4">
        <v>0</v>
      </c>
      <c r="P580" s="4">
        <v>0</v>
      </c>
      <c r="Q580" s="4" t="e">
        <f>(P580-P579)/P579</f>
        <v>#DIV/0!</v>
      </c>
      <c r="R580" s="4">
        <v>27</v>
      </c>
      <c r="S580" s="3">
        <v>41848</v>
      </c>
      <c r="T580" s="2">
        <f>IF(N580&gt;0,1,0)</f>
        <v>0</v>
      </c>
    </row>
    <row r="581" spans="1:20" x14ac:dyDescent="0.2">
      <c r="A581" s="6">
        <v>580</v>
      </c>
      <c r="B581" s="3">
        <v>41856</v>
      </c>
      <c r="C581" s="4" t="s">
        <v>0</v>
      </c>
      <c r="D581" s="4" t="s">
        <v>0</v>
      </c>
      <c r="E581" s="4">
        <v>0</v>
      </c>
      <c r="F581" s="4">
        <v>0</v>
      </c>
      <c r="G581" s="4">
        <v>26.688776041666699</v>
      </c>
      <c r="H581" s="4" t="s">
        <v>0</v>
      </c>
      <c r="I581" s="4" t="s">
        <v>0</v>
      </c>
      <c r="J581" s="4">
        <v>8</v>
      </c>
      <c r="K581" s="4">
        <v>2014</v>
      </c>
      <c r="M581" s="5" t="s">
        <v>5</v>
      </c>
      <c r="O581" s="4">
        <v>0</v>
      </c>
      <c r="P581" s="4">
        <v>0</v>
      </c>
      <c r="Q581" s="4" t="e">
        <f>(P581-P580)/P580</f>
        <v>#DIV/0!</v>
      </c>
      <c r="R581" s="4">
        <v>28</v>
      </c>
      <c r="S581" s="3">
        <v>41856</v>
      </c>
      <c r="T581" s="2">
        <f>IF(N581&gt;0,1,0)</f>
        <v>0</v>
      </c>
    </row>
    <row r="582" spans="1:20" x14ac:dyDescent="0.2">
      <c r="A582" s="6">
        <v>581</v>
      </c>
      <c r="B582" s="3">
        <v>41864</v>
      </c>
      <c r="C582" s="4">
        <v>0.127270322293043</v>
      </c>
      <c r="D582" s="4" t="s">
        <v>0</v>
      </c>
      <c r="E582" s="4">
        <v>0</v>
      </c>
      <c r="F582" s="4">
        <v>0</v>
      </c>
      <c r="G582" s="4">
        <v>26.806171875</v>
      </c>
      <c r="H582" s="4" t="s">
        <v>0</v>
      </c>
      <c r="I582" s="4" t="s">
        <v>0</v>
      </c>
      <c r="J582" s="4">
        <v>8</v>
      </c>
      <c r="K582" s="4">
        <v>2014</v>
      </c>
      <c r="M582" s="5"/>
      <c r="O582" s="4">
        <v>0</v>
      </c>
      <c r="P582" s="4">
        <v>0</v>
      </c>
      <c r="Q582" s="4" t="e">
        <f>(P582-P581)/P581</f>
        <v>#DIV/0!</v>
      </c>
      <c r="R582" s="4">
        <v>29</v>
      </c>
      <c r="S582" s="3">
        <v>41864</v>
      </c>
      <c r="T582" s="2">
        <f>IF(N582&gt;0,1,0)</f>
        <v>0</v>
      </c>
    </row>
    <row r="583" spans="1:20" x14ac:dyDescent="0.2">
      <c r="A583" s="6">
        <v>582</v>
      </c>
      <c r="B583" s="3">
        <v>41872</v>
      </c>
      <c r="C583" s="4">
        <v>0.17439579963684099</v>
      </c>
      <c r="D583" s="4" t="s">
        <v>0</v>
      </c>
      <c r="E583" s="4">
        <v>0</v>
      </c>
      <c r="F583" s="4">
        <v>0</v>
      </c>
      <c r="G583" s="4">
        <v>27.085416666666699</v>
      </c>
      <c r="H583" s="4" t="s">
        <v>0</v>
      </c>
      <c r="I583" s="4" t="s">
        <v>0</v>
      </c>
      <c r="J583" s="4">
        <v>8</v>
      </c>
      <c r="K583" s="4">
        <v>2014</v>
      </c>
      <c r="M583" s="5"/>
      <c r="O583" s="4">
        <v>0</v>
      </c>
      <c r="P583" s="4">
        <v>0</v>
      </c>
      <c r="Q583" s="4" t="e">
        <f>(P583-P582)/P582</f>
        <v>#DIV/0!</v>
      </c>
      <c r="R583" s="4">
        <v>30</v>
      </c>
      <c r="S583" s="3">
        <v>41872</v>
      </c>
      <c r="T583" s="2">
        <f>IF(N583&gt;0,1,0)</f>
        <v>0</v>
      </c>
    </row>
    <row r="584" spans="1:20" x14ac:dyDescent="0.2">
      <c r="A584" s="6">
        <v>583</v>
      </c>
      <c r="B584" s="3">
        <v>41880</v>
      </c>
      <c r="C584" s="4">
        <v>0.15516246593635499</v>
      </c>
      <c r="D584" s="4">
        <v>0.119158774614334</v>
      </c>
      <c r="E584" s="4">
        <v>0</v>
      </c>
      <c r="F584" s="4">
        <v>0</v>
      </c>
      <c r="G584" s="4">
        <v>27.632369791666701</v>
      </c>
      <c r="H584" s="4" t="s">
        <v>0</v>
      </c>
      <c r="I584" s="4" t="s">
        <v>0</v>
      </c>
      <c r="J584" s="4">
        <v>8</v>
      </c>
      <c r="K584" s="4">
        <v>2014</v>
      </c>
      <c r="M584" s="5"/>
      <c r="O584" s="4">
        <v>0</v>
      </c>
      <c r="P584" s="4">
        <v>0</v>
      </c>
      <c r="Q584" s="4" t="e">
        <f>(P584-P583)/P583</f>
        <v>#DIV/0!</v>
      </c>
      <c r="R584" s="4">
        <v>31</v>
      </c>
      <c r="S584" s="3">
        <v>41880</v>
      </c>
      <c r="T584" s="2">
        <f>IF(N584&gt;0,1,0)</f>
        <v>0</v>
      </c>
    </row>
    <row r="585" spans="1:20" x14ac:dyDescent="0.2">
      <c r="A585" s="6">
        <v>584</v>
      </c>
      <c r="B585" s="3">
        <v>41888</v>
      </c>
      <c r="C585" s="4">
        <v>0.130620765499771</v>
      </c>
      <c r="D585" s="4" t="s">
        <v>0</v>
      </c>
      <c r="E585" s="4">
        <v>0</v>
      </c>
      <c r="F585" s="4">
        <v>0</v>
      </c>
      <c r="G585" s="4">
        <v>28.075494791666699</v>
      </c>
      <c r="H585" s="4" t="s">
        <v>0</v>
      </c>
      <c r="I585" s="4" t="s">
        <v>0</v>
      </c>
      <c r="J585" s="4">
        <v>9</v>
      </c>
      <c r="K585" s="4">
        <v>2014</v>
      </c>
      <c r="M585" s="5" t="s">
        <v>4</v>
      </c>
      <c r="O585" s="4">
        <v>0</v>
      </c>
      <c r="P585" s="4">
        <v>0</v>
      </c>
      <c r="Q585" s="4" t="e">
        <f>(P585-P584)/P584</f>
        <v>#DIV/0!</v>
      </c>
      <c r="R585" s="4">
        <v>32</v>
      </c>
      <c r="S585" s="3">
        <v>41888</v>
      </c>
      <c r="T585" s="2">
        <f>IF(N585&gt;0,1,0)</f>
        <v>0</v>
      </c>
    </row>
    <row r="586" spans="1:20" x14ac:dyDescent="0.2">
      <c r="A586" s="6">
        <v>585</v>
      </c>
      <c r="B586" s="3">
        <v>41896</v>
      </c>
      <c r="C586" s="4">
        <v>8.84513463824987E-2</v>
      </c>
      <c r="D586" s="4" t="s">
        <v>0</v>
      </c>
      <c r="E586" s="4">
        <v>0</v>
      </c>
      <c r="F586" s="4">
        <v>0</v>
      </c>
      <c r="G586" s="4">
        <v>28.049427083333299</v>
      </c>
      <c r="H586" s="4" t="s">
        <v>0</v>
      </c>
      <c r="I586" s="4" t="s">
        <v>0</v>
      </c>
      <c r="J586" s="4">
        <v>9</v>
      </c>
      <c r="K586" s="4">
        <v>2014</v>
      </c>
      <c r="M586" s="5"/>
      <c r="O586" s="4">
        <v>0</v>
      </c>
      <c r="P586" s="4">
        <v>0</v>
      </c>
      <c r="Q586" s="4" t="e">
        <f>(P586-P585)/P585</f>
        <v>#DIV/0!</v>
      </c>
      <c r="R586" s="4">
        <v>33</v>
      </c>
      <c r="S586" s="3">
        <v>41896</v>
      </c>
      <c r="T586" s="2">
        <f>IF(N586&gt;0,1,0)</f>
        <v>0</v>
      </c>
    </row>
    <row r="587" spans="1:20" x14ac:dyDescent="0.2">
      <c r="A587" s="6">
        <v>586</v>
      </c>
      <c r="B587" s="3">
        <v>41904</v>
      </c>
      <c r="C587" s="4">
        <v>8.3972174674272496E-2</v>
      </c>
      <c r="D587" s="4" t="s">
        <v>0</v>
      </c>
      <c r="E587" s="4">
        <v>0</v>
      </c>
      <c r="F587" s="4">
        <v>0</v>
      </c>
      <c r="G587" s="4">
        <v>28.118255208333299</v>
      </c>
      <c r="H587" s="4" t="s">
        <v>0</v>
      </c>
      <c r="I587" s="4" t="s">
        <v>0</v>
      </c>
      <c r="J587" s="4">
        <v>9</v>
      </c>
      <c r="K587" s="4">
        <v>2014</v>
      </c>
      <c r="M587" s="5"/>
      <c r="O587" s="4">
        <v>0</v>
      </c>
      <c r="P587" s="4">
        <v>0</v>
      </c>
      <c r="Q587" s="4" t="e">
        <f>(P587-P586)/P586</f>
        <v>#DIV/0!</v>
      </c>
      <c r="R587" s="4">
        <v>34</v>
      </c>
      <c r="S587" s="3">
        <v>41904</v>
      </c>
      <c r="T587" s="2">
        <f>IF(N587&gt;0,1,0)</f>
        <v>0</v>
      </c>
    </row>
    <row r="588" spans="1:20" x14ac:dyDescent="0.2">
      <c r="A588" s="6">
        <v>587</v>
      </c>
      <c r="B588" s="3">
        <v>41912</v>
      </c>
      <c r="C588" s="4">
        <v>9.3542531753579794E-2</v>
      </c>
      <c r="D588" s="4" t="s">
        <v>0</v>
      </c>
      <c r="E588" s="4">
        <v>0</v>
      </c>
      <c r="F588" s="4">
        <v>0</v>
      </c>
      <c r="G588" s="4">
        <v>28.275338541666699</v>
      </c>
      <c r="H588" s="4" t="s">
        <v>0</v>
      </c>
      <c r="I588" s="4" t="s">
        <v>0</v>
      </c>
      <c r="J588" s="4">
        <v>9</v>
      </c>
      <c r="K588" s="4">
        <v>2014</v>
      </c>
      <c r="M588" s="5"/>
      <c r="O588" s="4">
        <v>0</v>
      </c>
      <c r="P588" s="4">
        <v>0</v>
      </c>
      <c r="Q588" s="4" t="e">
        <f>(P588-P587)/P587</f>
        <v>#DIV/0!</v>
      </c>
      <c r="R588" s="4">
        <v>35</v>
      </c>
      <c r="S588" s="3">
        <v>41912</v>
      </c>
      <c r="T588" s="2">
        <f>IF(N588&gt;0,1,0)</f>
        <v>0</v>
      </c>
    </row>
    <row r="589" spans="1:20" x14ac:dyDescent="0.2">
      <c r="A589" s="6">
        <v>588</v>
      </c>
      <c r="B589" s="3">
        <v>41920</v>
      </c>
      <c r="C589" s="4">
        <v>8.9787057893616795E-2</v>
      </c>
      <c r="D589" s="4">
        <v>9.2394761741161305E-2</v>
      </c>
      <c r="E589" s="4">
        <v>0</v>
      </c>
      <c r="F589" s="4">
        <v>0</v>
      </c>
      <c r="G589" s="4">
        <v>28.013229166666701</v>
      </c>
      <c r="H589" s="4" t="s">
        <v>0</v>
      </c>
      <c r="I589" s="4" t="s">
        <v>0</v>
      </c>
      <c r="J589" s="4">
        <v>10</v>
      </c>
      <c r="K589" s="4">
        <v>2014</v>
      </c>
      <c r="M589" s="5" t="s">
        <v>3</v>
      </c>
      <c r="O589" s="4">
        <v>0</v>
      </c>
      <c r="P589" s="4">
        <v>0</v>
      </c>
      <c r="Q589" s="4" t="e">
        <f>(P589-P588)/P588</f>
        <v>#DIV/0!</v>
      </c>
      <c r="R589" s="4">
        <v>36</v>
      </c>
      <c r="S589" s="3">
        <v>41920</v>
      </c>
      <c r="T589" s="2">
        <f>IF(N589&gt;0,1,0)</f>
        <v>0</v>
      </c>
    </row>
    <row r="590" spans="1:20" x14ac:dyDescent="0.2">
      <c r="A590" s="6">
        <v>589</v>
      </c>
      <c r="B590" s="3">
        <v>41928</v>
      </c>
      <c r="C590" s="4">
        <v>0.10387460649996</v>
      </c>
      <c r="D590" s="4">
        <v>0.10444419706861199</v>
      </c>
      <c r="E590" s="4">
        <v>0</v>
      </c>
      <c r="F590" s="4">
        <v>0</v>
      </c>
      <c r="G590" s="4">
        <v>28.464791666666699</v>
      </c>
      <c r="H590" s="4" t="s">
        <v>0</v>
      </c>
      <c r="I590" s="4" t="s">
        <v>0</v>
      </c>
      <c r="J590" s="4">
        <v>10</v>
      </c>
      <c r="K590" s="4">
        <v>2014</v>
      </c>
      <c r="M590" s="5"/>
      <c r="O590" s="4">
        <v>0</v>
      </c>
      <c r="P590" s="4">
        <v>0</v>
      </c>
      <c r="Q590" s="4" t="e">
        <f>(P590-P589)/P589</f>
        <v>#DIV/0!</v>
      </c>
      <c r="R590" s="4">
        <v>37</v>
      </c>
      <c r="S590" s="3">
        <v>41928</v>
      </c>
      <c r="T590" s="2">
        <f>IF(N590&gt;0,1,0)</f>
        <v>0</v>
      </c>
    </row>
    <row r="591" spans="1:20" x14ac:dyDescent="0.2">
      <c r="A591" s="6">
        <v>590</v>
      </c>
      <c r="B591" s="3">
        <v>41936</v>
      </c>
      <c r="C591" s="4">
        <v>0.10688842378095199</v>
      </c>
      <c r="D591" s="4">
        <v>8.97070467472076E-2</v>
      </c>
      <c r="E591" s="4">
        <v>0</v>
      </c>
      <c r="F591" s="4">
        <v>0</v>
      </c>
      <c r="G591" s="4">
        <v>29.223125</v>
      </c>
      <c r="H591" s="4" t="s">
        <v>0</v>
      </c>
      <c r="I591" s="4" t="s">
        <v>0</v>
      </c>
      <c r="J591" s="4">
        <v>10</v>
      </c>
      <c r="K591" s="4">
        <v>2014</v>
      </c>
      <c r="M591" s="5"/>
      <c r="O591" s="4">
        <v>0</v>
      </c>
      <c r="P591" s="4">
        <v>0</v>
      </c>
      <c r="Q591" s="4" t="e">
        <f>(P591-P590)/P590</f>
        <v>#DIV/0!</v>
      </c>
      <c r="R591" s="4">
        <v>38</v>
      </c>
      <c r="S591" s="3">
        <v>41936</v>
      </c>
      <c r="T591" s="2">
        <f>IF(N591&gt;0,1,0)</f>
        <v>0</v>
      </c>
    </row>
    <row r="592" spans="1:20" x14ac:dyDescent="0.2">
      <c r="A592" s="6">
        <v>591</v>
      </c>
      <c r="B592" s="3">
        <v>41944</v>
      </c>
      <c r="C592" s="4">
        <v>9.5066397695253907E-2</v>
      </c>
      <c r="D592" s="4">
        <v>8.3728817601998601E-2</v>
      </c>
      <c r="E592" s="4">
        <v>0</v>
      </c>
      <c r="F592" s="4">
        <v>0</v>
      </c>
      <c r="G592" s="4">
        <v>29.148177083333302</v>
      </c>
      <c r="H592" s="4" t="s">
        <v>0</v>
      </c>
      <c r="I592" s="4" t="s">
        <v>0</v>
      </c>
      <c r="J592" s="4">
        <v>11</v>
      </c>
      <c r="K592" s="4">
        <v>2014</v>
      </c>
      <c r="M592" s="5" t="s">
        <v>2</v>
      </c>
      <c r="O592" s="4">
        <v>0</v>
      </c>
      <c r="P592" s="4">
        <v>0</v>
      </c>
      <c r="Q592" s="4" t="e">
        <f>(P592-P591)/P591</f>
        <v>#DIV/0!</v>
      </c>
      <c r="R592" s="4">
        <v>39</v>
      </c>
      <c r="S592" s="3">
        <v>41944</v>
      </c>
      <c r="T592" s="2">
        <f>IF(N592&gt;0,1,0)</f>
        <v>0</v>
      </c>
    </row>
    <row r="593" spans="1:20" x14ac:dyDescent="0.2">
      <c r="A593" s="6">
        <v>592</v>
      </c>
      <c r="B593" s="3">
        <v>41952</v>
      </c>
      <c r="C593" s="4">
        <v>0.134306128113723</v>
      </c>
      <c r="D593" s="4">
        <v>0.132204903910557</v>
      </c>
      <c r="E593" s="4">
        <v>0</v>
      </c>
      <c r="F593" s="4">
        <v>0</v>
      </c>
      <c r="G593" s="4">
        <v>28.631901041666701</v>
      </c>
      <c r="H593" s="4" t="s">
        <v>0</v>
      </c>
      <c r="I593" s="4" t="s">
        <v>0</v>
      </c>
      <c r="J593" s="4">
        <v>11</v>
      </c>
      <c r="K593" s="4">
        <v>2014</v>
      </c>
      <c r="M593" s="5"/>
      <c r="O593" s="4">
        <v>0</v>
      </c>
      <c r="P593" s="4">
        <v>0</v>
      </c>
      <c r="Q593" s="4" t="e">
        <f>(P593-P592)/P592</f>
        <v>#DIV/0!</v>
      </c>
      <c r="R593" s="4">
        <v>40</v>
      </c>
      <c r="S593" s="3">
        <v>41952</v>
      </c>
      <c r="T593" s="2">
        <f>IF(N593&gt;0,1,0)</f>
        <v>0</v>
      </c>
    </row>
    <row r="594" spans="1:20" x14ac:dyDescent="0.2">
      <c r="A594" s="6">
        <v>593</v>
      </c>
      <c r="B594" s="3">
        <v>41960</v>
      </c>
      <c r="C594" s="4">
        <v>0.13206194849439401</v>
      </c>
      <c r="D594" s="4">
        <v>0.115557160228491</v>
      </c>
      <c r="E594" s="4">
        <v>0</v>
      </c>
      <c r="F594" s="4">
        <v>0</v>
      </c>
      <c r="G594" s="4">
        <v>28.421927083333301</v>
      </c>
      <c r="H594" s="4" t="s">
        <v>0</v>
      </c>
      <c r="I594" s="4" t="s">
        <v>0</v>
      </c>
      <c r="J594" s="4">
        <v>11</v>
      </c>
      <c r="K594" s="4">
        <v>2014</v>
      </c>
      <c r="M594" s="5"/>
      <c r="O594" s="4">
        <v>0</v>
      </c>
      <c r="P594" s="4">
        <v>0</v>
      </c>
      <c r="Q594" s="4" t="e">
        <f>(P594-P593)/P593</f>
        <v>#DIV/0!</v>
      </c>
      <c r="R594" s="4">
        <v>41</v>
      </c>
      <c r="S594" s="3">
        <v>41960</v>
      </c>
      <c r="T594" s="2">
        <f>IF(N594&gt;0,1,0)</f>
        <v>0</v>
      </c>
    </row>
    <row r="595" spans="1:20" x14ac:dyDescent="0.2">
      <c r="A595" s="6">
        <v>594</v>
      </c>
      <c r="B595" s="3">
        <v>41968</v>
      </c>
      <c r="C595" s="4">
        <v>0.14948207254593199</v>
      </c>
      <c r="D595" s="4">
        <v>0.12773331378896999</v>
      </c>
      <c r="E595" s="4">
        <v>0</v>
      </c>
      <c r="F595" s="4">
        <v>0</v>
      </c>
      <c r="G595" s="4">
        <v>28.753645833333302</v>
      </c>
      <c r="H595" s="4" t="s">
        <v>0</v>
      </c>
      <c r="I595" s="4" t="s">
        <v>0</v>
      </c>
      <c r="J595" s="4">
        <v>11</v>
      </c>
      <c r="K595" s="4">
        <v>2014</v>
      </c>
      <c r="M595" s="5"/>
      <c r="O595" s="4">
        <v>0</v>
      </c>
      <c r="P595" s="4">
        <v>0</v>
      </c>
      <c r="Q595" s="4" t="e">
        <f>(P595-P594)/P594</f>
        <v>#DIV/0!</v>
      </c>
      <c r="R595" s="4">
        <v>42</v>
      </c>
      <c r="S595" s="3">
        <v>41968</v>
      </c>
      <c r="T595" s="2">
        <f>IF(N595&gt;0,1,0)</f>
        <v>0</v>
      </c>
    </row>
    <row r="596" spans="1:20" x14ac:dyDescent="0.2">
      <c r="A596" s="6">
        <v>595</v>
      </c>
      <c r="B596" s="3">
        <v>41976</v>
      </c>
      <c r="C596" s="4">
        <v>0.16053280136030601</v>
      </c>
      <c r="D596" s="4">
        <v>0.14557066559791601</v>
      </c>
      <c r="E596" s="4">
        <v>0</v>
      </c>
      <c r="F596" s="4">
        <v>0</v>
      </c>
      <c r="G596" s="4">
        <v>29.118932291666699</v>
      </c>
      <c r="H596" s="4" t="s">
        <v>0</v>
      </c>
      <c r="I596" s="4" t="s">
        <v>0</v>
      </c>
      <c r="J596" s="4">
        <v>12</v>
      </c>
      <c r="K596" s="4">
        <v>2014</v>
      </c>
      <c r="M596" s="5" t="s">
        <v>1</v>
      </c>
      <c r="O596" s="4">
        <v>0</v>
      </c>
      <c r="P596" s="4">
        <v>0</v>
      </c>
      <c r="Q596" s="4" t="e">
        <f>(P596-P595)/P595</f>
        <v>#DIV/0!</v>
      </c>
      <c r="R596" s="4">
        <v>43</v>
      </c>
      <c r="S596" s="3">
        <v>41976</v>
      </c>
      <c r="T596" s="2">
        <f>IF(N596&gt;0,1,0)</f>
        <v>0</v>
      </c>
    </row>
    <row r="597" spans="1:20" x14ac:dyDescent="0.2">
      <c r="A597" s="6">
        <v>596</v>
      </c>
      <c r="B597" s="3">
        <v>41984</v>
      </c>
      <c r="C597" s="4">
        <v>0.14941150946663601</v>
      </c>
      <c r="D597" s="4">
        <v>0.13681450113654101</v>
      </c>
      <c r="E597" s="4">
        <v>0</v>
      </c>
      <c r="F597" s="4">
        <v>0</v>
      </c>
      <c r="G597" s="4">
        <v>28.9643489583333</v>
      </c>
      <c r="H597" s="4" t="s">
        <v>0</v>
      </c>
      <c r="I597" s="4" t="s">
        <v>0</v>
      </c>
      <c r="J597" s="4">
        <v>12</v>
      </c>
      <c r="K597" s="4">
        <v>2014</v>
      </c>
      <c r="M597" s="5"/>
      <c r="O597" s="4">
        <v>0</v>
      </c>
      <c r="P597" s="4">
        <v>0</v>
      </c>
      <c r="Q597" s="4" t="e">
        <f>(P597-P596)/P596</f>
        <v>#DIV/0!</v>
      </c>
      <c r="R597" s="4">
        <v>44</v>
      </c>
      <c r="S597" s="3">
        <v>41984</v>
      </c>
      <c r="T597" s="2">
        <f>IF(N597&gt;0,1,0)</f>
        <v>0</v>
      </c>
    </row>
    <row r="598" spans="1:20" x14ac:dyDescent="0.2">
      <c r="A598" s="6">
        <v>597</v>
      </c>
      <c r="B598" s="3">
        <v>41992</v>
      </c>
      <c r="C598" s="4">
        <v>0.20680815577507</v>
      </c>
      <c r="D598" s="4" t="s">
        <v>0</v>
      </c>
      <c r="E598" s="4">
        <v>0</v>
      </c>
      <c r="F598" s="4">
        <v>0</v>
      </c>
      <c r="G598" s="4">
        <v>28.690234374999999</v>
      </c>
      <c r="H598" s="4" t="s">
        <v>0</v>
      </c>
      <c r="I598" s="4" t="s">
        <v>0</v>
      </c>
      <c r="J598" s="4">
        <v>12</v>
      </c>
      <c r="K598" s="4">
        <v>2014</v>
      </c>
      <c r="M598" s="5"/>
      <c r="O598" s="4">
        <v>0</v>
      </c>
      <c r="P598" s="4">
        <v>0</v>
      </c>
      <c r="Q598" s="4" t="e">
        <f>(P598-P597)/P597</f>
        <v>#DIV/0!</v>
      </c>
      <c r="R598" s="4">
        <v>45</v>
      </c>
      <c r="S598" s="3">
        <v>41992</v>
      </c>
      <c r="T598" s="2">
        <f>IF(N598&gt;0,1,0)</f>
        <v>0</v>
      </c>
    </row>
    <row r="599" spans="1:20" x14ac:dyDescent="0.2">
      <c r="A599" s="6">
        <v>598</v>
      </c>
      <c r="B599" s="3">
        <v>42000</v>
      </c>
      <c r="C599" s="4">
        <v>0.16240952163934699</v>
      </c>
      <c r="D599" s="4" t="s">
        <v>0</v>
      </c>
      <c r="E599" s="4">
        <v>0</v>
      </c>
      <c r="F599" s="4">
        <v>0</v>
      </c>
      <c r="G599" s="4" t="s">
        <v>0</v>
      </c>
      <c r="H599" s="4" t="s">
        <v>0</v>
      </c>
      <c r="I599" s="4" t="s">
        <v>0</v>
      </c>
      <c r="J599" s="4">
        <v>12</v>
      </c>
      <c r="K599" s="4">
        <v>2014</v>
      </c>
      <c r="M599" s="5"/>
      <c r="O599" s="4">
        <v>0</v>
      </c>
      <c r="P599" s="4">
        <v>0</v>
      </c>
      <c r="Q599" s="4" t="e">
        <f>(P599-P598)/P598</f>
        <v>#DIV/0!</v>
      </c>
      <c r="R599" s="4">
        <v>46</v>
      </c>
      <c r="S599" s="3">
        <v>42000</v>
      </c>
      <c r="T599" s="2">
        <f>IF(N599&gt;0,1,0)</f>
        <v>0</v>
      </c>
    </row>
  </sheetData>
  <conditionalFormatting sqref="P1:P1048576 O1 N2:N5 O6:O44 N45:N51 O98:O145 N146:N153 O154:O170 N171:N179 O180:O212 N213:N219 O220:O272 N273:N279 O280:O360 N361:N363 O364:O365 N366:N372 O373:O375 N376:N378 O379:O406 N407:N412 O413:O452 N453:N467 O468:O499 N500:N510 O511:O524 N525:N531 O532:O548 O561:O1048576 N559:N560 N549:N553 O554:O558 N90:N97 O52:O89">
    <cfRule type="cellIs" dxfId="0" priority="1" operator="greaterThan">
      <formula>0.9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43A8-CCD2-644E-8F16-F0D8A180CFF9}">
  <dimension ref="A1:K36"/>
  <sheetViews>
    <sheetView tabSelected="1" zoomScale="167" workbookViewId="0">
      <selection activeCell="I3" sqref="I3"/>
    </sheetView>
  </sheetViews>
  <sheetFormatPr baseColWidth="10" defaultRowHeight="16" x14ac:dyDescent="0.2"/>
  <cols>
    <col min="4" max="4" width="9.6640625" bestFit="1" customWidth="1"/>
    <col min="5" max="5" width="15.5" customWidth="1"/>
    <col min="6" max="6" width="12.83203125" bestFit="1" customWidth="1"/>
    <col min="9" max="9" width="12" customWidth="1"/>
    <col min="10" max="10" width="12.5" customWidth="1"/>
  </cols>
  <sheetData>
    <row r="1" spans="1:11" x14ac:dyDescent="0.2">
      <c r="B1" t="s">
        <v>49</v>
      </c>
      <c r="C1" t="s">
        <v>48</v>
      </c>
      <c r="D1" t="s">
        <v>47</v>
      </c>
      <c r="I1" t="s">
        <v>46</v>
      </c>
      <c r="J1" t="s">
        <v>45</v>
      </c>
      <c r="K1" t="s">
        <v>44</v>
      </c>
    </row>
    <row r="2" spans="1:11" x14ac:dyDescent="0.2">
      <c r="A2">
        <v>2002</v>
      </c>
      <c r="C2" s="5">
        <v>37601</v>
      </c>
      <c r="H2">
        <v>1</v>
      </c>
      <c r="I2" t="s">
        <v>33</v>
      </c>
      <c r="J2" s="5">
        <v>37601</v>
      </c>
    </row>
    <row r="3" spans="1:11" x14ac:dyDescent="0.2">
      <c r="A3">
        <v>2003</v>
      </c>
      <c r="B3" s="5">
        <v>37646</v>
      </c>
      <c r="C3" s="21">
        <v>45566</v>
      </c>
      <c r="H3">
        <v>2</v>
      </c>
      <c r="I3" s="20">
        <v>37601</v>
      </c>
      <c r="J3" s="5">
        <v>37646</v>
      </c>
      <c r="K3">
        <f>J3-I3</f>
        <v>45</v>
      </c>
    </row>
    <row r="4" spans="1:11" x14ac:dyDescent="0.2">
      <c r="A4">
        <v>2004</v>
      </c>
      <c r="B4" s="21">
        <v>45682</v>
      </c>
      <c r="C4" t="s">
        <v>43</v>
      </c>
      <c r="H4">
        <v>3</v>
      </c>
      <c r="I4" s="10">
        <v>37958</v>
      </c>
      <c r="J4" s="5">
        <v>38011</v>
      </c>
      <c r="K4">
        <f>J4-I4</f>
        <v>53</v>
      </c>
    </row>
    <row r="5" spans="1:11" x14ac:dyDescent="0.2">
      <c r="A5">
        <v>2005</v>
      </c>
      <c r="D5">
        <v>2</v>
      </c>
      <c r="E5" t="s">
        <v>42</v>
      </c>
      <c r="F5" t="s">
        <v>41</v>
      </c>
      <c r="H5">
        <v>4</v>
      </c>
      <c r="I5" s="5">
        <v>38401</v>
      </c>
      <c r="J5" s="5">
        <v>38457</v>
      </c>
      <c r="K5">
        <f>J5-I5</f>
        <v>56</v>
      </c>
    </row>
    <row r="6" spans="1:11" x14ac:dyDescent="0.2">
      <c r="A6" s="22">
        <v>2006</v>
      </c>
      <c r="D6" t="s">
        <v>40</v>
      </c>
      <c r="E6" t="s">
        <v>39</v>
      </c>
      <c r="H6">
        <v>5</v>
      </c>
      <c r="I6" s="5">
        <v>38601</v>
      </c>
      <c r="J6" s="5">
        <v>38665</v>
      </c>
      <c r="K6">
        <f>J6-I6</f>
        <v>64</v>
      </c>
    </row>
    <row r="7" spans="1:11" x14ac:dyDescent="0.2">
      <c r="A7" s="22">
        <v>2007</v>
      </c>
      <c r="C7" s="21">
        <v>45566</v>
      </c>
      <c r="H7">
        <v>6</v>
      </c>
      <c r="I7" s="10">
        <v>38974</v>
      </c>
      <c r="J7" s="5">
        <v>38982</v>
      </c>
      <c r="K7">
        <f>J7-I7</f>
        <v>8</v>
      </c>
    </row>
    <row r="8" spans="1:11" x14ac:dyDescent="0.2">
      <c r="A8">
        <v>2008</v>
      </c>
      <c r="B8" s="21">
        <v>39814</v>
      </c>
      <c r="H8">
        <v>7</v>
      </c>
      <c r="I8" s="5">
        <v>39411</v>
      </c>
      <c r="J8" s="5">
        <v>39456</v>
      </c>
      <c r="K8">
        <f>J8-I8</f>
        <v>45</v>
      </c>
    </row>
    <row r="9" spans="1:11" x14ac:dyDescent="0.2">
      <c r="A9">
        <v>2009</v>
      </c>
      <c r="C9" s="21">
        <v>41244</v>
      </c>
      <c r="D9">
        <v>2</v>
      </c>
      <c r="E9" t="s">
        <v>38</v>
      </c>
      <c r="H9">
        <v>8</v>
      </c>
      <c r="I9" s="10">
        <v>40110</v>
      </c>
      <c r="J9" s="7">
        <v>40126</v>
      </c>
      <c r="K9">
        <f>J9-I9</f>
        <v>16</v>
      </c>
    </row>
    <row r="10" spans="1:11" x14ac:dyDescent="0.2">
      <c r="A10">
        <v>2010</v>
      </c>
      <c r="B10" s="21">
        <v>42736</v>
      </c>
      <c r="D10">
        <v>2</v>
      </c>
      <c r="E10" t="s">
        <v>37</v>
      </c>
      <c r="F10" s="21" t="s">
        <v>36</v>
      </c>
      <c r="H10">
        <v>9</v>
      </c>
      <c r="I10" s="7">
        <v>40150</v>
      </c>
      <c r="J10" s="5">
        <v>40195</v>
      </c>
      <c r="K10">
        <f>J10-I10</f>
        <v>45</v>
      </c>
    </row>
    <row r="11" spans="1:11" x14ac:dyDescent="0.2">
      <c r="A11">
        <v>2011</v>
      </c>
      <c r="C11" s="21">
        <v>39722</v>
      </c>
      <c r="H11">
        <v>10</v>
      </c>
      <c r="I11" s="5">
        <v>40227</v>
      </c>
      <c r="J11" s="5">
        <v>40243</v>
      </c>
      <c r="K11">
        <f>J11-I11</f>
        <v>16</v>
      </c>
    </row>
    <row r="12" spans="1:11" x14ac:dyDescent="0.2">
      <c r="A12">
        <v>2012</v>
      </c>
      <c r="B12" s="21">
        <v>40210</v>
      </c>
      <c r="C12" s="21">
        <v>41548</v>
      </c>
      <c r="H12">
        <v>11</v>
      </c>
      <c r="I12" s="5">
        <v>40475</v>
      </c>
      <c r="J12" s="5">
        <v>40515</v>
      </c>
      <c r="K12">
        <f>J12-I12</f>
        <v>40</v>
      </c>
    </row>
    <row r="13" spans="1:11" x14ac:dyDescent="0.2">
      <c r="A13">
        <v>2013</v>
      </c>
      <c r="B13" s="21">
        <v>40210</v>
      </c>
      <c r="C13" s="21">
        <v>45962</v>
      </c>
      <c r="D13">
        <v>1</v>
      </c>
      <c r="E13" t="s">
        <v>35</v>
      </c>
      <c r="H13">
        <v>12</v>
      </c>
      <c r="I13" s="10">
        <v>40840</v>
      </c>
      <c r="J13" s="5">
        <v>40949</v>
      </c>
      <c r="K13">
        <f>J13-I13</f>
        <v>109</v>
      </c>
    </row>
    <row r="14" spans="1:11" x14ac:dyDescent="0.2">
      <c r="A14">
        <v>2014</v>
      </c>
      <c r="B14" s="21">
        <v>45658</v>
      </c>
      <c r="E14" t="s">
        <v>34</v>
      </c>
      <c r="H14">
        <v>13</v>
      </c>
      <c r="I14" s="5">
        <v>41195</v>
      </c>
      <c r="J14" s="10">
        <v>41291</v>
      </c>
      <c r="K14">
        <f>J14-I14</f>
        <v>96</v>
      </c>
    </row>
    <row r="15" spans="1:11" x14ac:dyDescent="0.2">
      <c r="H15">
        <v>14</v>
      </c>
      <c r="I15" s="5">
        <v>41381</v>
      </c>
      <c r="J15" s="5">
        <v>41459</v>
      </c>
      <c r="K15">
        <f>J15-I15</f>
        <v>78</v>
      </c>
    </row>
    <row r="16" spans="1:11" x14ac:dyDescent="0.2">
      <c r="H16">
        <v>15</v>
      </c>
      <c r="I16" s="5">
        <v>41603</v>
      </c>
      <c r="J16" s="10">
        <v>41635</v>
      </c>
      <c r="K16">
        <f>J16-I16</f>
        <v>32</v>
      </c>
    </row>
    <row r="17" spans="1:11" x14ac:dyDescent="0.2">
      <c r="H17">
        <v>16</v>
      </c>
      <c r="I17" s="5">
        <v>41680</v>
      </c>
      <c r="J17" t="s">
        <v>33</v>
      </c>
    </row>
    <row r="18" spans="1:11" x14ac:dyDescent="0.2">
      <c r="K18">
        <f>AVERAGE(K3:K16)</f>
        <v>50.214285714285715</v>
      </c>
    </row>
    <row r="21" spans="1:11" x14ac:dyDescent="0.2">
      <c r="A21" t="s">
        <v>32</v>
      </c>
      <c r="F21" t="s">
        <v>31</v>
      </c>
    </row>
    <row r="22" spans="1:11" x14ac:dyDescent="0.2">
      <c r="A22" s="20">
        <v>37601</v>
      </c>
      <c r="F22" s="5">
        <v>37281</v>
      </c>
    </row>
    <row r="23" spans="1:11" x14ac:dyDescent="0.2">
      <c r="A23" s="5">
        <v>37918</v>
      </c>
      <c r="F23" s="5">
        <v>37646</v>
      </c>
    </row>
    <row r="24" spans="1:11" x14ac:dyDescent="0.2">
      <c r="A24" s="5">
        <v>38401</v>
      </c>
      <c r="F24" s="5">
        <v>38011</v>
      </c>
    </row>
    <row r="25" spans="1:11" x14ac:dyDescent="0.2">
      <c r="A25" s="5">
        <v>38601</v>
      </c>
    </row>
    <row r="26" spans="1:11" x14ac:dyDescent="0.2">
      <c r="A26" s="10">
        <v>38974</v>
      </c>
    </row>
    <row r="27" spans="1:11" x14ac:dyDescent="0.2">
      <c r="A27" s="5">
        <v>39411</v>
      </c>
    </row>
    <row r="28" spans="1:11" x14ac:dyDescent="0.2">
      <c r="A28" s="10">
        <v>40110</v>
      </c>
    </row>
    <row r="29" spans="1:11" x14ac:dyDescent="0.2">
      <c r="A29" s="7">
        <v>40150</v>
      </c>
    </row>
    <row r="30" spans="1:11" x14ac:dyDescent="0.2">
      <c r="A30" s="5">
        <v>40227</v>
      </c>
    </row>
    <row r="31" spans="1:11" x14ac:dyDescent="0.2">
      <c r="A31" s="5">
        <v>40475</v>
      </c>
    </row>
    <row r="32" spans="1:11" x14ac:dyDescent="0.2">
      <c r="A32" s="10">
        <v>40840</v>
      </c>
    </row>
    <row r="33" spans="1:1" x14ac:dyDescent="0.2">
      <c r="A33" s="5">
        <v>41195</v>
      </c>
    </row>
    <row r="34" spans="1:1" x14ac:dyDescent="0.2">
      <c r="A34" s="5">
        <v>41381</v>
      </c>
    </row>
    <row r="35" spans="1:1" x14ac:dyDescent="0.2">
      <c r="A35" s="5">
        <v>41603</v>
      </c>
    </row>
    <row r="36" spans="1:1" x14ac:dyDescent="0.2">
      <c r="A36" s="5">
        <v>41680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nw data</vt:lpstr>
      <vt:lpstr>Peak Seasons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2021-07-10T14:18:12Z</dcterms:created>
  <dcterms:modified xsi:type="dcterms:W3CDTF">2021-07-10T14:20:54Z</dcterms:modified>
</cp:coreProperties>
</file>